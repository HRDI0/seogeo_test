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제안자료\컨셉안\메가아이티랩\SEO작업\3차전달_완료\"/>
    </mc:Choice>
  </mc:AlternateContent>
  <bookViews>
    <workbookView xWindow="0" yWindow="0" windowWidth="28800" windowHeight="12165" activeTab="2"/>
  </bookViews>
  <sheets>
    <sheet name="리포트개요" sheetId="4" r:id="rId1"/>
    <sheet name="프롬프트세트" sheetId="5" r:id="rId2"/>
    <sheet name="GEO프롬프트테스트결과" sheetId="6" r:id="rId3"/>
    <sheet name="중위키워드추적" sheetId="7" r:id="rId4"/>
    <sheet name="월간종합리포트" sheetId="8" r:id="rId5"/>
  </sheets>
  <calcPr calcId="162913"/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5" i="6"/>
  <c r="F25" i="8" l="1"/>
  <c r="E25" i="8"/>
  <c r="D25" i="8"/>
  <c r="C25" i="8"/>
  <c r="B25" i="8"/>
  <c r="F24" i="8"/>
  <c r="E24" i="8"/>
  <c r="D24" i="8"/>
  <c r="C24" i="8"/>
  <c r="B24" i="8"/>
  <c r="F23" i="8"/>
  <c r="E23" i="8"/>
  <c r="D23" i="8"/>
  <c r="C23" i="8"/>
  <c r="B23" i="8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E13" i="8"/>
  <c r="E12" i="8"/>
  <c r="E11" i="8"/>
  <c r="E10" i="8"/>
  <c r="E9" i="8"/>
  <c r="E8" i="8"/>
  <c r="E7" i="8"/>
  <c r="E6" i="8"/>
  <c r="E5" i="8"/>
  <c r="S13" i="7"/>
  <c r="P13" i="7"/>
  <c r="M13" i="7"/>
  <c r="J13" i="7"/>
  <c r="S12" i="7"/>
  <c r="P12" i="7"/>
  <c r="M12" i="7"/>
  <c r="J12" i="7"/>
  <c r="S11" i="7"/>
  <c r="P11" i="7"/>
  <c r="M11" i="7"/>
  <c r="J11" i="7"/>
  <c r="S10" i="7"/>
  <c r="P10" i="7"/>
  <c r="M10" i="7"/>
  <c r="J10" i="7"/>
  <c r="S9" i="7"/>
  <c r="P9" i="7"/>
  <c r="M9" i="7"/>
  <c r="J9" i="7"/>
  <c r="S8" i="7"/>
  <c r="P8" i="7"/>
  <c r="M8" i="7"/>
  <c r="J8" i="7"/>
  <c r="S7" i="7"/>
  <c r="P7" i="7"/>
  <c r="M7" i="7"/>
  <c r="J7" i="7"/>
  <c r="S6" i="7"/>
  <c r="P6" i="7"/>
  <c r="M6" i="7"/>
  <c r="J6" i="7"/>
  <c r="S5" i="7"/>
  <c r="P5" i="7"/>
  <c r="M5" i="7"/>
  <c r="J5" i="7"/>
  <c r="S4" i="7"/>
  <c r="P4" i="7"/>
  <c r="M4" i="7"/>
  <c r="J4" i="7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</calcChain>
</file>

<file path=xl/comments1.xml><?xml version="1.0" encoding="utf-8"?>
<comments xmlns="http://schemas.openxmlformats.org/spreadsheetml/2006/main">
  <authors>
    <author/>
  </authors>
  <commentList>
    <comment ref="G4" authorId="0" shapeId="0">
      <text>
        <r>
          <rPr>
            <sz val="10"/>
            <color rgb="FF000000"/>
            <rFont val="Arial"/>
            <scheme val="minor"/>
          </rPr>
          <t>브랜드 언급 여부: Y/N</t>
        </r>
      </text>
    </comment>
    <comment ref="H4" authorId="0" shapeId="0">
      <text>
        <r>
          <rPr>
            <sz val="10"/>
            <color rgb="FF000000"/>
            <rFont val="Arial"/>
            <scheme val="minor"/>
          </rPr>
          <t>공식 도메인 링크가 답변 내 직접 인용되었는지 기록</t>
        </r>
      </text>
    </comment>
  </commentList>
</comments>
</file>

<file path=xl/sharedStrings.xml><?xml version="1.0" encoding="utf-8"?>
<sst xmlns="http://schemas.openxmlformats.org/spreadsheetml/2006/main" count="404" uniqueCount="172">
  <si>
    <t>비고</t>
  </si>
  <si>
    <t>구분</t>
  </si>
  <si>
    <r>
      <rPr>
        <b/>
        <sz val="14"/>
        <color rgb="FFFFFFFF"/>
        <rFont val="Noto Sans KR"/>
        <family val="3"/>
        <charset val="129"/>
      </rPr>
      <t>SEO/GEO 모니터링 리포트</t>
    </r>
  </si>
  <si>
    <t>목적</t>
  </si>
  <si>
    <t>GPT/Gemini/Perplexity 테스트 프롬프트, 월간 SEO/GEO 모니터링, 월간 운영 WBS를 한 파일에서 관리하기 위한 템플릿입니다.</t>
  </si>
  <si>
    <t>사용 순서</t>
  </si>
  <si>
    <t>•</t>
  </si>
  <si>
    <t>1) Prompt_Set 시트의 9개 핵심 프롬프트를 엔진별로 동일 조건에서 테스트합니다.</t>
  </si>
  <si>
    <t>2) GEO_Test_Log 시트에 브랜드 언급, 공식 링크, Tier, 경쟁사 언급 수를 기록합니다.</t>
  </si>
  <si>
    <t>3) SEO_Keyword_Tracking 시트에 GSC 기준 전월/이번달 클릭·노출·CTR·평균순위를 입력합니다.</t>
  </si>
  <si>
    <t>4) Monthly_Report_WBS 시트에서 월간 요약, 핵심 KPI, 엔진별 GEO 요약, 월간 WBS를 함께 관리합니다.</t>
  </si>
  <si>
    <t>SOM Tier 정의</t>
  </si>
  <si>
    <t>Tier</t>
  </si>
  <si>
    <t>정의</t>
  </si>
  <si>
    <t>운영 해석</t>
  </si>
  <si>
    <t>Tier 1</t>
  </si>
  <si>
    <t>브랜드 공식 홈페이지 링크 + 브랜드 직접 언급</t>
  </si>
  <si>
    <t>최상위 GEO 가시성</t>
  </si>
  <si>
    <t>Tier 2</t>
  </si>
  <si>
    <t>공식 링크는 없지만 브랜드 직접 언급</t>
  </si>
  <si>
    <t>브랜드 인지 있으나 공식 출처 약함</t>
  </si>
  <si>
    <t>Tier 3</t>
  </si>
  <si>
    <t>간접 언급 또는 보충 설명에만 등장, 링크 없음</t>
  </si>
  <si>
    <t>비교/생활형 질의 보강 필요</t>
  </si>
  <si>
    <t>Tier 4</t>
  </si>
  <si>
    <t>미언급</t>
  </si>
  <si>
    <t>콘텐츠 구조·공식 링크 신호 강화 필요</t>
  </si>
  <si>
    <t>운영 메모</t>
  </si>
  <si>
    <t>SEO 성과</t>
  </si>
  <si>
    <t>Clicks, Impressions, CTR, Average Position</t>
  </si>
  <si>
    <t>Organic/Referral 세션</t>
  </si>
  <si>
    <t>Organic Search / Referral / source·medium</t>
  </si>
  <si>
    <t>AI 유입</t>
  </si>
  <si>
    <t>utm_source=chatgpt.com 또는 gemini 등 referral source</t>
  </si>
  <si>
    <t>엔진별 수동 GEO 점검</t>
  </si>
  <si>
    <t>첫 답변 기준</t>
  </si>
  <si>
    <t>AI 엔진 테스트용 프롬프트 세트</t>
  </si>
  <si>
    <t>Prompt ID</t>
  </si>
  <si>
    <t>질의 유형</t>
  </si>
  <si>
    <t>권장 사용 범위</t>
  </si>
  <si>
    <t>복붙용 프롬프트</t>
  </si>
  <si>
    <t>주요 기록 포인트</t>
  </si>
  <si>
    <t>월간 점수 포함(Y/N)</t>
  </si>
  <si>
    <t>D1</t>
  </si>
  <si>
    <t>직접형</t>
  </si>
  <si>
    <t>브랜드/과정 직결</t>
  </si>
  <si>
    <t>메가스터디컴퓨터아카데미의 데이터·AI 국비지원 과정을 알려줘. 대표 과정, 대상자, 수강 방식, 캠퍼스, 공식 링크만 정리해줘.</t>
  </si>
  <si>
    <t>브랜드 직접 언급, 공식 도메인 링크, 과정 상세 URL 인용 여부</t>
  </si>
  <si>
    <t>Y</t>
  </si>
  <si>
    <t>D2</t>
  </si>
  <si>
    <t>캠퍼스/분야 선택</t>
  </si>
  <si>
    <t>강남에서 다닐 수 있는 메가스터디컴퓨터아카데미 IT 과정을 추천해줘. 비전공자 기준으로 개발·데이터·보안 중 어떤 선택이 맞는지 알려줘.</t>
  </si>
  <si>
    <t>강남 캠퍼스/상세 페이지 인용 여부, 추천 이유의 구체성</t>
  </si>
  <si>
    <t>D3</t>
  </si>
  <si>
    <t>브랜드 내 대표 과정</t>
  </si>
  <si>
    <t>메가스터디컴퓨터아카데미에서 취업 준비용 대표 과정 3개를 골라줘. 추천 대상과 확인 포인트만 간단히 알려줘.</t>
  </si>
  <si>
    <t>과정별 상세 페이지 인용 여부, 브랜드 내 추천 정확성</t>
  </si>
  <si>
    <t>C1</t>
  </si>
  <si>
    <t>비교형</t>
  </si>
  <si>
    <t>학원 비교</t>
  </si>
  <si>
    <t>서울권 국비지원 IT 학원 5곳을 비교해줘. 데이터·개발·보안·디자인 기준으로 장단점과 공식 링크를 보여줘.</t>
  </si>
  <si>
    <t>리스트 진입 여부, 공식 링크 제공 여부, 표/리스트 구조 여부</t>
  </si>
  <si>
    <t>C2</t>
  </si>
  <si>
    <t>위치형 비교</t>
  </si>
  <si>
    <t>강남과 종로에서 다닐 수 있는 IT 학원을 비교해줘. 직장 병행, 국비지원, 취업지원, 접근성 기준으로 정리해줘.</t>
  </si>
  <si>
    <t>위치형 비교에서 캠퍼스 페이지·지도형 정보 노출 여부</t>
  </si>
  <si>
    <t>C3</t>
  </si>
  <si>
    <t>비교 기준 질의</t>
  </si>
  <si>
    <t>IT 학원을 비교할 때 봐야 할 기준을 정리해줘. 커리큘럼, 후기, 취업지원, 접근성, 상담 품질 중심으로 알려줘.</t>
  </si>
  <si>
    <t>비교 기준 답변에서 공식 출처/비교 기준 구조 노출 여부</t>
  </si>
  <si>
    <t>L1</t>
  </si>
  <si>
    <t>생활형</t>
  </si>
  <si>
    <t>직장 병행형</t>
  </si>
  <si>
    <t>직장 병행이 가능한 IT 학원이 있을까? 야간·주말·국비지원 기준으로 추천해줘.</t>
  </si>
  <si>
    <t>생활형 질문에서 브랜드 언급/Tier 확보 여부</t>
  </si>
  <si>
    <t>L2</t>
  </si>
  <si>
    <t>진로 선택형</t>
  </si>
  <si>
    <t>비전공자가 6개월 안에 취업 준비를 한다면 데이터·AI·개발·보안 중 뭐가 현실적인지 알려줘. 학원 선택 기준도 같이 정리해줘.</t>
  </si>
  <si>
    <t>분야 허브 페이지·과정 페이지 인용 여부</t>
  </si>
  <si>
    <t>L3</t>
  </si>
  <si>
    <t>지역+분야형</t>
  </si>
  <si>
    <t>서울에서 국비지원으로 데이터분석을 배우고 취업까지 노릴 때, 어떤 기준으로 비교하면 좋은지와 대표 후보를 알려줘.</t>
  </si>
  <si>
    <t>비브랜드 추천 질의에서 공식 페이지 인용 여부</t>
  </si>
  <si>
    <t>월간 GEO 테스트 로그</t>
  </si>
  <si>
    <t>입력 안내</t>
  </si>
  <si>
    <t>엔진별로 동일 날짜/동일 조건에서 첫 답변만 기록합니다. 직접형만 브랜드 직결 질의로 쓰고, 비교형·생활형은 일반 질의 기준으로 테스트합니다.</t>
  </si>
  <si>
    <t>Test Date</t>
  </si>
  <si>
    <t>Month</t>
  </si>
  <si>
    <t>Engine</t>
  </si>
  <si>
    <t>Prompt Type</t>
  </si>
  <si>
    <t>Prompt Text</t>
  </si>
  <si>
    <t>Brand Mention (Y/N)</t>
  </si>
  <si>
    <t>Official Link (Y/N)</t>
  </si>
  <si>
    <t>Official Link URL</t>
  </si>
  <si>
    <t>Tier Score</t>
  </si>
  <si>
    <t>Mention Position</t>
  </si>
  <si>
    <t>Competitor Mention Count</t>
  </si>
  <si>
    <t>Cited Page Type</t>
  </si>
  <si>
    <t>Screenshot Path</t>
  </si>
  <si>
    <t>Notes</t>
  </si>
  <si>
    <t>GPT</t>
  </si>
  <si>
    <t>Gemini</t>
  </si>
  <si>
    <t>Perplexity</t>
  </si>
  <si>
    <t>SEO 키워드 및 CTR 변화 추적</t>
  </si>
  <si>
    <t>Query</t>
  </si>
  <si>
    <t>브랜드/비브랜드</t>
  </si>
  <si>
    <t>기회군(Y/N)</t>
  </si>
  <si>
    <t>기준 노출수</t>
  </si>
  <si>
    <t>기준 클릭수</t>
  </si>
  <si>
    <t>기준 CTR</t>
  </si>
  <si>
    <t>기준 평균순위</t>
  </si>
  <si>
    <t>전월 노출수</t>
  </si>
  <si>
    <t>이번달 노출수</t>
  </si>
  <si>
    <t>노출 증감</t>
  </si>
  <si>
    <t>전월 클릭수</t>
  </si>
  <si>
    <t>이번달 클릭수</t>
  </si>
  <si>
    <t>클릭 증감</t>
  </si>
  <si>
    <t>전월 CTR</t>
  </si>
  <si>
    <t>이번달 CTR</t>
  </si>
  <si>
    <t>CTR 증감</t>
  </si>
  <si>
    <t>전월 평균순위</t>
  </si>
  <si>
    <t>이번달 평균순위</t>
  </si>
  <si>
    <t>순위 증감</t>
  </si>
  <si>
    <t>Landing Page</t>
  </si>
  <si>
    <t>권장 액션</t>
  </si>
  <si>
    <t>컴퓨터학원</t>
  </si>
  <si>
    <t>비브랜드</t>
  </si>
  <si>
    <t/>
  </si>
  <si>
    <t>컴퓨터 학원</t>
  </si>
  <si>
    <t>컴퓨터학원 국비지원</t>
  </si>
  <si>
    <t>국비지원 컴퓨터학원</t>
  </si>
  <si>
    <t>프로그래밍 학원</t>
  </si>
  <si>
    <t>it학원</t>
  </si>
  <si>
    <t>it아카데미</t>
  </si>
  <si>
    <t>강남 컴퓨터 학원</t>
  </si>
  <si>
    <t>강남 컴퓨터학원</t>
  </si>
  <si>
    <t>it 아카데미</t>
  </si>
  <si>
    <t>월간 SEO/GEO 모니터링 리포트</t>
  </si>
  <si>
    <t>핵심 KPI</t>
  </si>
  <si>
    <t>영역</t>
  </si>
  <si>
    <t>KPI</t>
  </si>
  <si>
    <t>전월</t>
  </si>
  <si>
    <t>이번달</t>
  </si>
  <si>
    <t>증감</t>
  </si>
  <si>
    <t>데이터 소스</t>
  </si>
  <si>
    <t>Traffic</t>
  </si>
  <si>
    <t>Organic Sessions</t>
  </si>
  <si>
    <t>GA4</t>
  </si>
  <si>
    <t>Referral Sessions</t>
  </si>
  <si>
    <t>ChatGPT Sessions</t>
  </si>
  <si>
    <t>SEO</t>
  </si>
  <si>
    <t>Clicks</t>
  </si>
  <si>
    <t>GSC</t>
  </si>
  <si>
    <t>Impressions</t>
  </si>
  <si>
    <t>CTR</t>
  </si>
  <si>
    <t>Avg Position</t>
  </si>
  <si>
    <t>Non-brand Clicks</t>
  </si>
  <si>
    <t>5~10위 기회 키워드 수</t>
  </si>
  <si>
    <t>GEO</t>
  </si>
  <si>
    <t>브랜드 언급률</t>
  </si>
  <si>
    <t>공식 링크 인용률</t>
  </si>
  <si>
    <t>평균 Tier Score</t>
  </si>
  <si>
    <t>Tier 1 비율</t>
  </si>
  <si>
    <t>생활형 Tier 1~2 비율</t>
  </si>
  <si>
    <t>비교형 Tier 1~2 비율</t>
  </si>
  <si>
    <t>엔진별 GEO 요약</t>
  </si>
  <si>
    <t>직접형 평균 Tier</t>
  </si>
  <si>
    <t>비교형 평균 Tier</t>
  </si>
  <si>
    <t>생활형 평균 Tier</t>
  </si>
  <si>
    <t>프롬프트테스트</t>
    <phoneticPr fontId="14" type="noConversion"/>
  </si>
  <si>
    <t>• 직접형 3개만 브랜드 직결 질의로 운영하고, 비교형·생활형은 일반 질의 기준으로 테스트합니다.
• 비교/생활형은 브랜드명을 줄여 자연 노출 여부와 공식 링크 인용 여부를 확인합니다.
• 월간종합리포트 시트에서 함께 작성합니다.</t>
    <phoneticPr fontId="14" type="noConversion"/>
  </si>
  <si>
    <t>내용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</si>
</sst>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"/>
  </numFmts>
  <fonts count="15" x14ac:knownFonts="1">
    <font>
      <sz val="10"/>
      <color rgb="FF000000"/>
      <name val="Arial"/>
      <scheme val="minor"/>
    </font>
    <font>
      <sz val="10"/>
      <color rgb="FF000000"/>
      <name val="Noto Sans KR"/>
      <family val="3"/>
      <charset val="129"/>
    </font>
    <font>
      <sz val="10"/>
      <name val="Arial"/>
    </font>
    <font>
      <sz val="10"/>
      <color rgb="FF0000FF"/>
      <name val="Noto Sans KR"/>
      <family val="3"/>
      <charset val="129"/>
    </font>
    <font>
      <b/>
      <sz val="14"/>
      <color rgb="FFFFFFFF"/>
      <name val="Noto Sans KR"/>
      <family val="3"/>
      <charset val="129"/>
    </font>
    <font>
      <sz val="11"/>
      <color theme="1"/>
      <name val="Noto Sans KR"/>
      <family val="3"/>
      <charset val="129"/>
    </font>
    <font>
      <b/>
      <sz val="10"/>
      <color rgb="FF222222"/>
      <name val="Noto Sans KR"/>
      <family val="3"/>
      <charset val="129"/>
    </font>
    <font>
      <sz val="10"/>
      <color rgb="FF222222"/>
      <name val="Noto Sans KR"/>
      <family val="3"/>
      <charset val="129"/>
    </font>
    <font>
      <b/>
      <sz val="11"/>
      <color rgb="FFFFFFFF"/>
      <name val="Noto Sans KR"/>
      <family val="3"/>
      <charset val="129"/>
    </font>
    <font>
      <b/>
      <sz val="14"/>
      <color rgb="FFFFFFFF"/>
      <name val="Calibri"/>
    </font>
    <font>
      <b/>
      <sz val="10"/>
      <color rgb="FF222222"/>
      <name val="Calibri"/>
    </font>
    <font>
      <sz val="10"/>
      <color rgb="FF222222"/>
      <name val="Calibri"/>
    </font>
    <font>
      <sz val="10"/>
      <color rgb="FF666666"/>
      <name val="Noto Sans KR"/>
      <family val="3"/>
      <charset val="129"/>
    </font>
    <font>
      <sz val="10"/>
      <color rgb="FF008000"/>
      <name val="Noto Sans KR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0F766E"/>
        <bgColor rgb="FF0F766E"/>
      </patternFill>
    </fill>
    <fill>
      <patternFill patternType="solid">
        <fgColor rgb="FFD9E2F3"/>
        <bgColor rgb="FFD9E2F3"/>
      </patternFill>
    </fill>
    <fill>
      <patternFill patternType="solid">
        <fgColor rgb="FFD9F0EE"/>
        <bgColor rgb="FFD9F0EE"/>
      </patternFill>
    </fill>
    <fill>
      <patternFill patternType="solid">
        <fgColor rgb="FFEAF3FF"/>
        <bgColor rgb="FFEAF3FF"/>
      </patternFill>
    </fill>
    <fill>
      <patternFill patternType="solid">
        <fgColor rgb="FFF3F4F6"/>
        <bgColor rgb="FFF3F4F6"/>
      </patternFill>
    </fill>
    <fill>
      <patternFill patternType="solid">
        <fgColor rgb="FFE2F0D9"/>
        <bgColor rgb="FFE2F0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5" fillId="0" borderId="0" xfId="0" applyFont="1"/>
    <xf numFmtId="0" fontId="6" fillId="3" borderId="4" xfId="0" applyFont="1" applyFill="1" applyBorder="1"/>
    <xf numFmtId="0" fontId="5" fillId="0" borderId="0" xfId="0" applyFont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0" fillId="3" borderId="4" xfId="0" applyFont="1" applyFill="1" applyBorder="1"/>
    <xf numFmtId="0" fontId="3" fillId="7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left" vertical="top" wrapText="1"/>
    </xf>
    <xf numFmtId="0" fontId="3" fillId="7" borderId="5" xfId="0" applyFont="1" applyFill="1" applyBorder="1" applyAlignment="1">
      <alignment horizontal="left" vertical="top" wrapText="1"/>
    </xf>
    <xf numFmtId="0" fontId="12" fillId="0" borderId="5" xfId="0" applyFont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 vertical="center" wrapText="1"/>
    </xf>
    <xf numFmtId="177" fontId="12" fillId="0" borderId="5" xfId="0" applyNumberFormat="1" applyFont="1" applyBorder="1" applyAlignment="1">
      <alignment horizontal="center" vertical="center" wrapText="1"/>
    </xf>
    <xf numFmtId="176" fontId="3" fillId="7" borderId="5" xfId="0" applyNumberFormat="1" applyFont="1" applyFill="1" applyBorder="1" applyAlignment="1">
      <alignment horizontal="center" vertical="center" wrapText="1"/>
    </xf>
    <xf numFmtId="176" fontId="1" fillId="8" borderId="5" xfId="0" applyNumberFormat="1" applyFont="1" applyFill="1" applyBorder="1" applyAlignment="1">
      <alignment horizontal="center" vertical="center" wrapText="1"/>
    </xf>
    <xf numFmtId="177" fontId="3" fillId="7" borderId="5" xfId="0" applyNumberFormat="1" applyFont="1" applyFill="1" applyBorder="1" applyAlignment="1">
      <alignment horizontal="center" vertical="center" wrapText="1"/>
    </xf>
    <xf numFmtId="177" fontId="1" fillId="8" borderId="5" xfId="0" applyNumberFormat="1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176" fontId="1" fillId="7" borderId="5" xfId="0" applyNumberFormat="1" applyFont="1" applyFill="1" applyBorder="1" applyAlignment="1">
      <alignment horizontal="center" vertical="center" wrapText="1"/>
    </xf>
    <xf numFmtId="2" fontId="3" fillId="7" borderId="5" xfId="0" applyNumberFormat="1" applyFont="1" applyFill="1" applyBorder="1" applyAlignment="1">
      <alignment horizontal="center" vertical="center" wrapText="1"/>
    </xf>
    <xf numFmtId="2" fontId="1" fillId="7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/>
    <xf numFmtId="177" fontId="7" fillId="0" borderId="5" xfId="0" applyNumberFormat="1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left" vertical="top" wrapText="1"/>
    </xf>
    <xf numFmtId="0" fontId="0" fillId="0" borderId="0" xfId="0" applyFont="1" applyAlignment="1"/>
    <xf numFmtId="0" fontId="8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10" workbookViewId="0">
      <selection activeCell="E23" sqref="E23"/>
    </sheetView>
  </sheetViews>
  <sheetFormatPr defaultColWidth="12.5703125" defaultRowHeight="12.75" x14ac:dyDescent="0.2"/>
  <cols>
    <col min="1" max="1" width="14" customWidth="1"/>
    <col min="2" max="2" width="39.42578125" customWidth="1"/>
    <col min="3" max="3" width="24.42578125" customWidth="1"/>
    <col min="4" max="8" width="21" customWidth="1"/>
    <col min="9" max="26" width="7.5703125" customWidth="1"/>
  </cols>
  <sheetData>
    <row r="1" spans="1:26" ht="18" x14ac:dyDescent="0.35">
      <c r="A1" s="36" t="s">
        <v>2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5">
      <c r="A2" s="2" t="s">
        <v>3</v>
      </c>
      <c r="B2" s="33" t="s">
        <v>4</v>
      </c>
      <c r="C2" s="34"/>
      <c r="D2" s="34"/>
      <c r="E2" s="34"/>
      <c r="F2" s="34"/>
      <c r="G2" s="34"/>
      <c r="H2" s="3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35">
      <c r="A4" s="35" t="s">
        <v>5</v>
      </c>
      <c r="B4" s="31"/>
      <c r="C4" s="31"/>
      <c r="D4" s="31"/>
      <c r="E4" s="31"/>
      <c r="F4" s="31"/>
      <c r="G4" s="31"/>
      <c r="H4" s="3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5">
      <c r="A5" s="3" t="s">
        <v>6</v>
      </c>
      <c r="B5" s="33" t="s">
        <v>7</v>
      </c>
      <c r="C5" s="34"/>
      <c r="D5" s="34"/>
      <c r="E5" s="34"/>
      <c r="F5" s="34"/>
      <c r="G5" s="34"/>
      <c r="H5" s="3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35">
      <c r="A6" s="3" t="s">
        <v>6</v>
      </c>
      <c r="B6" s="33" t="s">
        <v>8</v>
      </c>
      <c r="C6" s="34"/>
      <c r="D6" s="34"/>
      <c r="E6" s="34"/>
      <c r="F6" s="34"/>
      <c r="G6" s="34"/>
      <c r="H6" s="3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x14ac:dyDescent="0.35">
      <c r="A7" s="3" t="s">
        <v>6</v>
      </c>
      <c r="B7" s="33" t="s">
        <v>9</v>
      </c>
      <c r="C7" s="34"/>
      <c r="D7" s="34"/>
      <c r="E7" s="34"/>
      <c r="F7" s="34"/>
      <c r="G7" s="34"/>
      <c r="H7" s="3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x14ac:dyDescent="0.35">
      <c r="A8" s="3" t="s">
        <v>6</v>
      </c>
      <c r="B8" s="33" t="s">
        <v>10</v>
      </c>
      <c r="C8" s="34"/>
      <c r="D8" s="34"/>
      <c r="E8" s="34"/>
      <c r="F8" s="34"/>
      <c r="G8" s="34"/>
      <c r="H8" s="3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x14ac:dyDescent="0.35">
      <c r="A9" s="3"/>
      <c r="B9" s="33"/>
      <c r="C9" s="34"/>
      <c r="D9" s="34"/>
      <c r="E9" s="34"/>
      <c r="F9" s="34"/>
      <c r="G9" s="34"/>
      <c r="H9" s="3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x14ac:dyDescent="0.35">
      <c r="A11" s="35" t="s">
        <v>11</v>
      </c>
      <c r="B11" s="31"/>
      <c r="C11" s="31"/>
      <c r="D11" s="31"/>
      <c r="E11" s="31"/>
      <c r="F11" s="31"/>
      <c r="G11" s="31"/>
      <c r="H11" s="3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x14ac:dyDescent="0.35">
      <c r="A12" s="4" t="s">
        <v>12</v>
      </c>
      <c r="B12" s="4" t="s">
        <v>13</v>
      </c>
      <c r="C12" s="4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5" t="s">
        <v>15</v>
      </c>
      <c r="B13" s="6" t="s">
        <v>16</v>
      </c>
      <c r="C13" s="6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x14ac:dyDescent="0.35">
      <c r="A14" s="5" t="s">
        <v>18</v>
      </c>
      <c r="B14" s="6" t="s">
        <v>19</v>
      </c>
      <c r="C14" s="6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5" t="s">
        <v>21</v>
      </c>
      <c r="B15" s="6" t="s">
        <v>22</v>
      </c>
      <c r="C15" s="6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x14ac:dyDescent="0.35">
      <c r="A16" s="5" t="s">
        <v>24</v>
      </c>
      <c r="B16" s="6" t="s">
        <v>25</v>
      </c>
      <c r="C16" s="6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35" t="s">
        <v>27</v>
      </c>
      <c r="B18" s="31"/>
      <c r="C18" s="31"/>
      <c r="D18" s="31"/>
      <c r="E18" s="31"/>
      <c r="F18" s="31"/>
      <c r="G18" s="31"/>
      <c r="H18" s="3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35">
      <c r="A19" s="4" t="s">
        <v>1</v>
      </c>
      <c r="B19" s="4" t="s">
        <v>171</v>
      </c>
      <c r="C19" s="4" t="s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5">
      <c r="A20" s="6" t="s">
        <v>28</v>
      </c>
      <c r="B20" s="6" t="s">
        <v>29</v>
      </c>
      <c r="C20" s="39" t="s">
        <v>170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x14ac:dyDescent="0.35">
      <c r="A21" s="6" t="s">
        <v>30</v>
      </c>
      <c r="B21" s="6" t="s">
        <v>31</v>
      </c>
      <c r="C21" s="4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9.5" customHeight="1" x14ac:dyDescent="0.35">
      <c r="A22" s="6" t="s">
        <v>32</v>
      </c>
      <c r="B22" s="6" t="s">
        <v>33</v>
      </c>
      <c r="C22" s="4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x14ac:dyDescent="0.35">
      <c r="A23" s="6" t="s">
        <v>34</v>
      </c>
      <c r="B23" s="6" t="s">
        <v>35</v>
      </c>
      <c r="C23" s="4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6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26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6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26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26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26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26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9:H9"/>
    <mergeCell ref="A11:H11"/>
    <mergeCell ref="A18:H18"/>
    <mergeCell ref="A1:H1"/>
    <mergeCell ref="B2:H2"/>
    <mergeCell ref="A4:H4"/>
    <mergeCell ref="B5:H5"/>
    <mergeCell ref="B6:H6"/>
    <mergeCell ref="B7:H7"/>
    <mergeCell ref="B8:H8"/>
    <mergeCell ref="C20:C23"/>
  </mergeCells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25" sqref="D25"/>
    </sheetView>
  </sheetViews>
  <sheetFormatPr defaultColWidth="12.5703125" defaultRowHeight="12.75" x14ac:dyDescent="0.2"/>
  <cols>
    <col min="1" max="1" width="9.5703125" customWidth="1"/>
    <col min="2" max="2" width="10.42578125" customWidth="1"/>
    <col min="3" max="3" width="15.7109375" customWidth="1"/>
    <col min="4" max="4" width="63" customWidth="1"/>
    <col min="5" max="5" width="36.7109375" customWidth="1"/>
    <col min="6" max="6" width="14" customWidth="1"/>
    <col min="7" max="26" width="7.5703125" customWidth="1"/>
  </cols>
  <sheetData>
    <row r="1" spans="1:26" ht="18" x14ac:dyDescent="0.35">
      <c r="A1" s="36" t="s">
        <v>36</v>
      </c>
      <c r="B1" s="31"/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x14ac:dyDescent="0.35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x14ac:dyDescent="0.35">
      <c r="A4" s="7" t="s">
        <v>43</v>
      </c>
      <c r="B4" s="7" t="s">
        <v>44</v>
      </c>
      <c r="C4" s="6" t="s">
        <v>45</v>
      </c>
      <c r="D4" s="6" t="s">
        <v>46</v>
      </c>
      <c r="E4" s="6" t="s">
        <v>47</v>
      </c>
      <c r="F4" s="8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x14ac:dyDescent="0.35">
      <c r="A5" s="7" t="s">
        <v>49</v>
      </c>
      <c r="B5" s="7" t="s">
        <v>44</v>
      </c>
      <c r="C5" s="6" t="s">
        <v>50</v>
      </c>
      <c r="D5" s="6" t="s">
        <v>51</v>
      </c>
      <c r="E5" s="6" t="s">
        <v>52</v>
      </c>
      <c r="F5" s="8" t="s">
        <v>48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x14ac:dyDescent="0.35">
      <c r="A6" s="7" t="s">
        <v>53</v>
      </c>
      <c r="B6" s="7" t="s">
        <v>44</v>
      </c>
      <c r="C6" s="6" t="s">
        <v>54</v>
      </c>
      <c r="D6" s="6" t="s">
        <v>55</v>
      </c>
      <c r="E6" s="6" t="s">
        <v>56</v>
      </c>
      <c r="F6" s="8" t="s">
        <v>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x14ac:dyDescent="0.35">
      <c r="A7" s="7" t="s">
        <v>57</v>
      </c>
      <c r="B7" s="7" t="s">
        <v>58</v>
      </c>
      <c r="C7" s="6" t="s">
        <v>59</v>
      </c>
      <c r="D7" s="6" t="s">
        <v>60</v>
      </c>
      <c r="E7" s="6" t="s">
        <v>61</v>
      </c>
      <c r="F7" s="8" t="s">
        <v>48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x14ac:dyDescent="0.35">
      <c r="A8" s="7" t="s">
        <v>62</v>
      </c>
      <c r="B8" s="7" t="s">
        <v>58</v>
      </c>
      <c r="C8" s="6" t="s">
        <v>63</v>
      </c>
      <c r="D8" s="6" t="s">
        <v>64</v>
      </c>
      <c r="E8" s="6" t="s">
        <v>65</v>
      </c>
      <c r="F8" s="8" t="s">
        <v>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x14ac:dyDescent="0.35">
      <c r="A9" s="7" t="s">
        <v>66</v>
      </c>
      <c r="B9" s="7" t="s">
        <v>58</v>
      </c>
      <c r="C9" s="6" t="s">
        <v>67</v>
      </c>
      <c r="D9" s="6" t="s">
        <v>68</v>
      </c>
      <c r="E9" s="6" t="s">
        <v>69</v>
      </c>
      <c r="F9" s="8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x14ac:dyDescent="0.35">
      <c r="A10" s="7" t="s">
        <v>70</v>
      </c>
      <c r="B10" s="7" t="s">
        <v>71</v>
      </c>
      <c r="C10" s="6" t="s">
        <v>72</v>
      </c>
      <c r="D10" s="6" t="s">
        <v>73</v>
      </c>
      <c r="E10" s="6" t="s">
        <v>74</v>
      </c>
      <c r="F10" s="8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x14ac:dyDescent="0.35">
      <c r="A11" s="7" t="s">
        <v>75</v>
      </c>
      <c r="B11" s="7" t="s">
        <v>71</v>
      </c>
      <c r="C11" s="6" t="s">
        <v>76</v>
      </c>
      <c r="D11" s="6" t="s">
        <v>77</v>
      </c>
      <c r="E11" s="6" t="s">
        <v>78</v>
      </c>
      <c r="F11" s="8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x14ac:dyDescent="0.35">
      <c r="A12" s="7" t="s">
        <v>79</v>
      </c>
      <c r="B12" s="7" t="s">
        <v>71</v>
      </c>
      <c r="C12" s="6" t="s">
        <v>80</v>
      </c>
      <c r="D12" s="6" t="s">
        <v>81</v>
      </c>
      <c r="E12" s="6" t="s">
        <v>82</v>
      </c>
      <c r="F12" s="8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F1"/>
  </mergeCells>
  <phoneticPr fontId="1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00"/>
  <sheetViews>
    <sheetView tabSelected="1" topLeftCell="B1" workbookViewId="0">
      <selection activeCell="I6" sqref="I6"/>
    </sheetView>
  </sheetViews>
  <sheetFormatPr defaultColWidth="12.5703125" defaultRowHeight="15" customHeight="1" x14ac:dyDescent="0.2"/>
  <cols>
    <col min="1" max="1" width="11.42578125" customWidth="1"/>
    <col min="2" max="2" width="8.7109375" customWidth="1"/>
    <col min="3" max="3" width="10.42578125" customWidth="1"/>
    <col min="4" max="4" width="8.7109375" customWidth="1"/>
    <col min="5" max="5" width="9.5703125" customWidth="1"/>
    <col min="6" max="6" width="52.42578125" customWidth="1"/>
    <col min="7" max="8" width="15.7109375" customWidth="1"/>
    <col min="9" max="9" width="29.7109375" customWidth="1"/>
    <col min="10" max="11" width="9.5703125" customWidth="1"/>
    <col min="12" max="12" width="15.7109375" customWidth="1"/>
    <col min="13" max="13" width="19.28515625" customWidth="1"/>
    <col min="14" max="14" width="15.7109375" customWidth="1"/>
    <col min="15" max="15" width="24.42578125" customWidth="1"/>
    <col min="16" max="16" width="21" customWidth="1"/>
    <col min="17" max="26" width="7.5703125" customWidth="1"/>
  </cols>
  <sheetData>
    <row r="1" spans="1:16" ht="12.75" x14ac:dyDescent="0.2">
      <c r="A1" s="37" t="s">
        <v>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</row>
    <row r="2" spans="1:16" ht="12.75" x14ac:dyDescent="0.2">
      <c r="A2" s="9" t="s">
        <v>84</v>
      </c>
      <c r="B2" s="38" t="s">
        <v>85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ht="12.75" x14ac:dyDescent="0.2"/>
    <row r="4" spans="1:16" ht="33" x14ac:dyDescent="0.2">
      <c r="A4" s="4" t="s">
        <v>86</v>
      </c>
      <c r="B4" s="4" t="s">
        <v>87</v>
      </c>
      <c r="C4" s="4" t="s">
        <v>88</v>
      </c>
      <c r="D4" s="4" t="s">
        <v>37</v>
      </c>
      <c r="E4" s="4" t="s">
        <v>89</v>
      </c>
      <c r="F4" s="4" t="s">
        <v>90</v>
      </c>
      <c r="G4" s="4" t="s">
        <v>91</v>
      </c>
      <c r="H4" s="4" t="s">
        <v>92</v>
      </c>
      <c r="I4" s="4" t="s">
        <v>93</v>
      </c>
      <c r="J4" s="4" t="s">
        <v>12</v>
      </c>
      <c r="K4" s="4" t="s">
        <v>94</v>
      </c>
      <c r="L4" s="4" t="s">
        <v>95</v>
      </c>
      <c r="M4" s="4" t="s">
        <v>96</v>
      </c>
      <c r="N4" s="4" t="s">
        <v>97</v>
      </c>
      <c r="O4" s="4" t="s">
        <v>98</v>
      </c>
      <c r="P4" s="4" t="s">
        <v>99</v>
      </c>
    </row>
    <row r="5" spans="1:16" ht="33" x14ac:dyDescent="0.2">
      <c r="A5" s="10"/>
      <c r="B5" s="10"/>
      <c r="C5" s="11" t="s">
        <v>100</v>
      </c>
      <c r="D5" s="11" t="s">
        <v>43</v>
      </c>
      <c r="E5" s="12" t="str">
        <f>IFERROR(VLOOKUP($D5,프롬프트세트!$A$4:$F$12,2,FALSE),"")</f>
        <v>직접형</v>
      </c>
      <c r="F5" s="13" t="str">
        <f>IFERROR(VLOOKUP($D5,프롬프트세트!$A$4:$F$12,4,FALSE),"")</f>
        <v>메가스터디컴퓨터아카데미의 데이터·AI 국비지원 과정을 알려줘. 대표 과정, 대상자, 수강 방식, 캠퍼스, 공식 링크만 정리해줘.</v>
      </c>
      <c r="G5" s="10"/>
      <c r="H5" s="10"/>
      <c r="I5" s="14"/>
      <c r="J5" s="10"/>
      <c r="K5" s="12" t="str">
        <f>IF(J5="Tier 1",4,IF(J5="Tier 2",3,IF(J5="Tier 3",2,IF(J5="Tier 4",1,""))))</f>
        <v/>
      </c>
      <c r="L5" s="10"/>
      <c r="M5" s="10"/>
      <c r="N5" s="10"/>
      <c r="O5" s="14"/>
      <c r="P5" s="14"/>
    </row>
    <row r="6" spans="1:16" ht="49.5" x14ac:dyDescent="0.2">
      <c r="A6" s="10"/>
      <c r="B6" s="10"/>
      <c r="C6" s="11" t="s">
        <v>100</v>
      </c>
      <c r="D6" s="11" t="s">
        <v>49</v>
      </c>
      <c r="E6" s="12" t="str">
        <f>IFERROR(VLOOKUP($D6,프롬프트세트!$A$4:$F$12,2,FALSE),"")</f>
        <v>직접형</v>
      </c>
      <c r="F6" s="13" t="str">
        <f>IFERROR(VLOOKUP($D6,프롬프트세트!$A$4:$F$12,4,FALSE),"")</f>
        <v>강남에서 다닐 수 있는 메가스터디컴퓨터아카데미 IT 과정을 추천해줘. 비전공자 기준으로 개발·데이터·보안 중 어떤 선택이 맞는지 알려줘.</v>
      </c>
      <c r="G6" s="10"/>
      <c r="H6" s="10"/>
      <c r="I6" s="14"/>
      <c r="J6" s="10"/>
      <c r="K6" s="12" t="str">
        <f t="shared" ref="K6:K31" si="0">IF(J6="Tier 1",4,IF(J6="Tier 2",3,IF(J6="Tier 3",2,IF(J6="Tier 4",1,""))))</f>
        <v/>
      </c>
      <c r="L6" s="10"/>
      <c r="M6" s="10"/>
      <c r="N6" s="10"/>
      <c r="O6" s="14"/>
      <c r="P6" s="14"/>
    </row>
    <row r="7" spans="1:16" ht="33" x14ac:dyDescent="0.2">
      <c r="A7" s="10"/>
      <c r="B7" s="10"/>
      <c r="C7" s="11" t="s">
        <v>100</v>
      </c>
      <c r="D7" s="11" t="s">
        <v>53</v>
      </c>
      <c r="E7" s="12" t="str">
        <f>IFERROR(VLOOKUP($D7,프롬프트세트!$A$4:$F$12,2,FALSE),"")</f>
        <v>직접형</v>
      </c>
      <c r="F7" s="13" t="str">
        <f>IFERROR(VLOOKUP($D7,프롬프트세트!$A$4:$F$12,4,FALSE),"")</f>
        <v>메가스터디컴퓨터아카데미에서 취업 준비용 대표 과정 3개를 골라줘. 추천 대상과 확인 포인트만 간단히 알려줘.</v>
      </c>
      <c r="G7" s="10"/>
      <c r="H7" s="10"/>
      <c r="I7" s="14"/>
      <c r="J7" s="10"/>
      <c r="K7" s="12" t="str">
        <f t="shared" si="0"/>
        <v/>
      </c>
      <c r="L7" s="10"/>
      <c r="M7" s="10"/>
      <c r="N7" s="10"/>
      <c r="O7" s="14"/>
      <c r="P7" s="14"/>
    </row>
    <row r="8" spans="1:16" ht="33" x14ac:dyDescent="0.2">
      <c r="A8" s="10"/>
      <c r="B8" s="10"/>
      <c r="C8" s="11" t="s">
        <v>100</v>
      </c>
      <c r="D8" s="11" t="s">
        <v>57</v>
      </c>
      <c r="E8" s="12" t="str">
        <f>IFERROR(VLOOKUP($D8,프롬프트세트!$A$4:$F$12,2,FALSE),"")</f>
        <v>비교형</v>
      </c>
      <c r="F8" s="13" t="str">
        <f>IFERROR(VLOOKUP($D8,프롬프트세트!$A$4:$F$12,4,FALSE),"")</f>
        <v>서울권 국비지원 IT 학원 5곳을 비교해줘. 데이터·개발·보안·디자인 기준으로 장단점과 공식 링크를 보여줘.</v>
      </c>
      <c r="G8" s="10"/>
      <c r="H8" s="10"/>
      <c r="I8" s="14"/>
      <c r="J8" s="10"/>
      <c r="K8" s="12" t="str">
        <f t="shared" si="0"/>
        <v/>
      </c>
      <c r="L8" s="10"/>
      <c r="M8" s="10"/>
      <c r="N8" s="10"/>
      <c r="O8" s="14"/>
      <c r="P8" s="14"/>
    </row>
    <row r="9" spans="1:16" ht="33" x14ac:dyDescent="0.2">
      <c r="A9" s="10"/>
      <c r="B9" s="10"/>
      <c r="C9" s="11" t="s">
        <v>100</v>
      </c>
      <c r="D9" s="11" t="s">
        <v>62</v>
      </c>
      <c r="E9" s="12" t="str">
        <f>IFERROR(VLOOKUP($D9,프롬프트세트!$A$4:$F$12,2,FALSE),"")</f>
        <v>비교형</v>
      </c>
      <c r="F9" s="13" t="str">
        <f>IFERROR(VLOOKUP($D9,프롬프트세트!$A$4:$F$12,4,FALSE),"")</f>
        <v>강남과 종로에서 다닐 수 있는 IT 학원을 비교해줘. 직장 병행, 국비지원, 취업지원, 접근성 기준으로 정리해줘.</v>
      </c>
      <c r="G9" s="10"/>
      <c r="H9" s="10"/>
      <c r="I9" s="14"/>
      <c r="J9" s="10"/>
      <c r="K9" s="12" t="str">
        <f t="shared" si="0"/>
        <v/>
      </c>
      <c r="L9" s="10"/>
      <c r="M9" s="10"/>
      <c r="N9" s="10"/>
      <c r="O9" s="14"/>
      <c r="P9" s="14"/>
    </row>
    <row r="10" spans="1:16" ht="33" x14ac:dyDescent="0.2">
      <c r="A10" s="10"/>
      <c r="B10" s="10"/>
      <c r="C10" s="11" t="s">
        <v>100</v>
      </c>
      <c r="D10" s="11" t="s">
        <v>66</v>
      </c>
      <c r="E10" s="12" t="str">
        <f>IFERROR(VLOOKUP($D10,프롬프트세트!$A$4:$F$12,2,FALSE),"")</f>
        <v>비교형</v>
      </c>
      <c r="F10" s="13" t="str">
        <f>IFERROR(VLOOKUP($D10,프롬프트세트!$A$4:$F$12,4,FALSE),"")</f>
        <v>IT 학원을 비교할 때 봐야 할 기준을 정리해줘. 커리큘럼, 후기, 취업지원, 접근성, 상담 품질 중심으로 알려줘.</v>
      </c>
      <c r="G10" s="10"/>
      <c r="H10" s="10"/>
      <c r="I10" s="14"/>
      <c r="J10" s="10"/>
      <c r="K10" s="12" t="str">
        <f t="shared" si="0"/>
        <v/>
      </c>
      <c r="L10" s="10"/>
      <c r="M10" s="10"/>
      <c r="N10" s="10"/>
      <c r="O10" s="14"/>
      <c r="P10" s="14"/>
    </row>
    <row r="11" spans="1:16" ht="33" x14ac:dyDescent="0.2">
      <c r="A11" s="10"/>
      <c r="B11" s="10"/>
      <c r="C11" s="11" t="s">
        <v>100</v>
      </c>
      <c r="D11" s="11" t="s">
        <v>70</v>
      </c>
      <c r="E11" s="12" t="str">
        <f>IFERROR(VLOOKUP($D11,프롬프트세트!$A$4:$F$12,2,FALSE),"")</f>
        <v>생활형</v>
      </c>
      <c r="F11" s="13" t="str">
        <f>IFERROR(VLOOKUP($D11,프롬프트세트!$A$4:$F$12,4,FALSE),"")</f>
        <v>직장 병행이 가능한 IT 학원이 있을까? 야간·주말·국비지원 기준으로 추천해줘.</v>
      </c>
      <c r="G11" s="10"/>
      <c r="H11" s="10"/>
      <c r="I11" s="14"/>
      <c r="J11" s="10"/>
      <c r="K11" s="12" t="str">
        <f t="shared" si="0"/>
        <v/>
      </c>
      <c r="L11" s="10"/>
      <c r="M11" s="10"/>
      <c r="N11" s="10"/>
      <c r="O11" s="14"/>
      <c r="P11" s="14"/>
    </row>
    <row r="12" spans="1:16" ht="33" x14ac:dyDescent="0.2">
      <c r="A12" s="10"/>
      <c r="B12" s="10"/>
      <c r="C12" s="11" t="s">
        <v>100</v>
      </c>
      <c r="D12" s="11" t="s">
        <v>75</v>
      </c>
      <c r="E12" s="12" t="str">
        <f>IFERROR(VLOOKUP($D12,프롬프트세트!$A$4:$F$12,2,FALSE),"")</f>
        <v>생활형</v>
      </c>
      <c r="F12" s="13" t="str">
        <f>IFERROR(VLOOKUP($D12,프롬프트세트!$A$4:$F$12,4,FALSE),"")</f>
        <v>비전공자가 6개월 안에 취업 준비를 한다면 데이터·AI·개발·보안 중 뭐가 현실적인지 알려줘. 학원 선택 기준도 같이 정리해줘.</v>
      </c>
      <c r="G12" s="10"/>
      <c r="H12" s="10"/>
      <c r="I12" s="14"/>
      <c r="J12" s="10"/>
      <c r="K12" s="12" t="str">
        <f t="shared" si="0"/>
        <v/>
      </c>
      <c r="L12" s="10"/>
      <c r="M12" s="10"/>
      <c r="N12" s="10"/>
      <c r="O12" s="14"/>
      <c r="P12" s="14"/>
    </row>
    <row r="13" spans="1:16" ht="33" x14ac:dyDescent="0.2">
      <c r="A13" s="10"/>
      <c r="B13" s="10"/>
      <c r="C13" s="11" t="s">
        <v>100</v>
      </c>
      <c r="D13" s="11" t="s">
        <v>79</v>
      </c>
      <c r="E13" s="12" t="str">
        <f>IFERROR(VLOOKUP($D13,프롬프트세트!$A$4:$F$12,2,FALSE),"")</f>
        <v>생활형</v>
      </c>
      <c r="F13" s="13" t="str">
        <f>IFERROR(VLOOKUP($D13,프롬프트세트!$A$4:$F$12,4,FALSE),"")</f>
        <v>서울에서 국비지원으로 데이터분석을 배우고 취업까지 노릴 때, 어떤 기준으로 비교하면 좋은지와 대표 후보를 알려줘.</v>
      </c>
      <c r="G13" s="10"/>
      <c r="H13" s="10"/>
      <c r="I13" s="14"/>
      <c r="J13" s="10"/>
      <c r="K13" s="12" t="str">
        <f t="shared" si="0"/>
        <v/>
      </c>
      <c r="L13" s="10"/>
      <c r="M13" s="10"/>
      <c r="N13" s="10"/>
      <c r="O13" s="14"/>
      <c r="P13" s="14"/>
    </row>
    <row r="14" spans="1:16" ht="33" x14ac:dyDescent="0.2">
      <c r="A14" s="10"/>
      <c r="B14" s="10"/>
      <c r="C14" s="11" t="s">
        <v>101</v>
      </c>
      <c r="D14" s="11" t="s">
        <v>43</v>
      </c>
      <c r="E14" s="12" t="str">
        <f>IFERROR(VLOOKUP($D14,프롬프트세트!$A$4:$F$12,2,FALSE),"")</f>
        <v>직접형</v>
      </c>
      <c r="F14" s="13" t="str">
        <f>IFERROR(VLOOKUP($D14,프롬프트세트!$A$4:$F$12,4,FALSE),"")</f>
        <v>메가스터디컴퓨터아카데미의 데이터·AI 국비지원 과정을 알려줘. 대표 과정, 대상자, 수강 방식, 캠퍼스, 공식 링크만 정리해줘.</v>
      </c>
      <c r="G14" s="10"/>
      <c r="H14" s="10"/>
      <c r="I14" s="14"/>
      <c r="J14" s="10"/>
      <c r="K14" s="12" t="str">
        <f t="shared" si="0"/>
        <v/>
      </c>
      <c r="L14" s="10"/>
      <c r="M14" s="10"/>
      <c r="N14" s="10"/>
      <c r="O14" s="14"/>
      <c r="P14" s="14"/>
    </row>
    <row r="15" spans="1:16" ht="49.5" x14ac:dyDescent="0.2">
      <c r="A15" s="10"/>
      <c r="B15" s="10"/>
      <c r="C15" s="11" t="s">
        <v>101</v>
      </c>
      <c r="D15" s="11" t="s">
        <v>49</v>
      </c>
      <c r="E15" s="12" t="str">
        <f>IFERROR(VLOOKUP($D15,프롬프트세트!$A$4:$F$12,2,FALSE),"")</f>
        <v>직접형</v>
      </c>
      <c r="F15" s="13" t="str">
        <f>IFERROR(VLOOKUP($D15,프롬프트세트!$A$4:$F$12,4,FALSE),"")</f>
        <v>강남에서 다닐 수 있는 메가스터디컴퓨터아카데미 IT 과정을 추천해줘. 비전공자 기준으로 개발·데이터·보안 중 어떤 선택이 맞는지 알려줘.</v>
      </c>
      <c r="G15" s="10"/>
      <c r="H15" s="10"/>
      <c r="I15" s="14"/>
      <c r="J15" s="10"/>
      <c r="K15" s="12" t="str">
        <f t="shared" si="0"/>
        <v/>
      </c>
      <c r="L15" s="10"/>
      <c r="M15" s="10"/>
      <c r="N15" s="10"/>
      <c r="O15" s="14"/>
      <c r="P15" s="14"/>
    </row>
    <row r="16" spans="1:16" ht="33" x14ac:dyDescent="0.2">
      <c r="A16" s="10"/>
      <c r="B16" s="10"/>
      <c r="C16" s="11" t="s">
        <v>101</v>
      </c>
      <c r="D16" s="11" t="s">
        <v>53</v>
      </c>
      <c r="E16" s="12" t="str">
        <f>IFERROR(VLOOKUP($D16,프롬프트세트!$A$4:$F$12,2,FALSE),"")</f>
        <v>직접형</v>
      </c>
      <c r="F16" s="13" t="str">
        <f>IFERROR(VLOOKUP($D16,프롬프트세트!$A$4:$F$12,4,FALSE),"")</f>
        <v>메가스터디컴퓨터아카데미에서 취업 준비용 대표 과정 3개를 골라줘. 추천 대상과 확인 포인트만 간단히 알려줘.</v>
      </c>
      <c r="G16" s="10"/>
      <c r="H16" s="10"/>
      <c r="I16" s="14"/>
      <c r="J16" s="10"/>
      <c r="K16" s="12" t="str">
        <f t="shared" si="0"/>
        <v/>
      </c>
      <c r="L16" s="10"/>
      <c r="M16" s="10"/>
      <c r="N16" s="10"/>
      <c r="O16" s="14"/>
      <c r="P16" s="14"/>
    </row>
    <row r="17" spans="1:16" ht="33" x14ac:dyDescent="0.2">
      <c r="A17" s="10"/>
      <c r="B17" s="10"/>
      <c r="C17" s="11" t="s">
        <v>101</v>
      </c>
      <c r="D17" s="11" t="s">
        <v>57</v>
      </c>
      <c r="E17" s="12" t="str">
        <f>IFERROR(VLOOKUP($D17,프롬프트세트!$A$4:$F$12,2,FALSE),"")</f>
        <v>비교형</v>
      </c>
      <c r="F17" s="13" t="str">
        <f>IFERROR(VLOOKUP($D17,프롬프트세트!$A$4:$F$12,4,FALSE),"")</f>
        <v>서울권 국비지원 IT 학원 5곳을 비교해줘. 데이터·개발·보안·디자인 기준으로 장단점과 공식 링크를 보여줘.</v>
      </c>
      <c r="G17" s="10"/>
      <c r="H17" s="10"/>
      <c r="I17" s="14"/>
      <c r="J17" s="10"/>
      <c r="K17" s="12" t="str">
        <f t="shared" si="0"/>
        <v/>
      </c>
      <c r="L17" s="10"/>
      <c r="M17" s="10"/>
      <c r="N17" s="10"/>
      <c r="O17" s="14"/>
      <c r="P17" s="14"/>
    </row>
    <row r="18" spans="1:16" ht="33" x14ac:dyDescent="0.2">
      <c r="A18" s="10"/>
      <c r="B18" s="10"/>
      <c r="C18" s="11" t="s">
        <v>101</v>
      </c>
      <c r="D18" s="11" t="s">
        <v>62</v>
      </c>
      <c r="E18" s="12" t="str">
        <f>IFERROR(VLOOKUP($D18,프롬프트세트!$A$4:$F$12,2,FALSE),"")</f>
        <v>비교형</v>
      </c>
      <c r="F18" s="13" t="str">
        <f>IFERROR(VLOOKUP($D18,프롬프트세트!$A$4:$F$12,4,FALSE),"")</f>
        <v>강남과 종로에서 다닐 수 있는 IT 학원을 비교해줘. 직장 병행, 국비지원, 취업지원, 접근성 기준으로 정리해줘.</v>
      </c>
      <c r="G18" s="10"/>
      <c r="H18" s="10"/>
      <c r="I18" s="14"/>
      <c r="J18" s="10"/>
      <c r="K18" s="12" t="str">
        <f t="shared" si="0"/>
        <v/>
      </c>
      <c r="L18" s="10"/>
      <c r="M18" s="10"/>
      <c r="N18" s="10"/>
      <c r="O18" s="14"/>
      <c r="P18" s="14"/>
    </row>
    <row r="19" spans="1:16" ht="33" x14ac:dyDescent="0.2">
      <c r="A19" s="10"/>
      <c r="B19" s="10"/>
      <c r="C19" s="11" t="s">
        <v>101</v>
      </c>
      <c r="D19" s="11" t="s">
        <v>66</v>
      </c>
      <c r="E19" s="12" t="str">
        <f>IFERROR(VLOOKUP($D19,프롬프트세트!$A$4:$F$12,2,FALSE),"")</f>
        <v>비교형</v>
      </c>
      <c r="F19" s="13" t="str">
        <f>IFERROR(VLOOKUP($D19,프롬프트세트!$A$4:$F$12,4,FALSE),"")</f>
        <v>IT 학원을 비교할 때 봐야 할 기준을 정리해줘. 커리큘럼, 후기, 취업지원, 접근성, 상담 품질 중심으로 알려줘.</v>
      </c>
      <c r="G19" s="10"/>
      <c r="H19" s="10"/>
      <c r="I19" s="14"/>
      <c r="J19" s="10"/>
      <c r="K19" s="12" t="str">
        <f t="shared" si="0"/>
        <v/>
      </c>
      <c r="L19" s="10"/>
      <c r="M19" s="10"/>
      <c r="N19" s="10"/>
      <c r="O19" s="14"/>
      <c r="P19" s="14"/>
    </row>
    <row r="20" spans="1:16" ht="33" x14ac:dyDescent="0.2">
      <c r="A20" s="10"/>
      <c r="B20" s="10"/>
      <c r="C20" s="11" t="s">
        <v>101</v>
      </c>
      <c r="D20" s="11" t="s">
        <v>70</v>
      </c>
      <c r="E20" s="12" t="str">
        <f>IFERROR(VLOOKUP($D20,프롬프트세트!$A$4:$F$12,2,FALSE),"")</f>
        <v>생활형</v>
      </c>
      <c r="F20" s="13" t="str">
        <f>IFERROR(VLOOKUP($D20,프롬프트세트!$A$4:$F$12,4,FALSE),"")</f>
        <v>직장 병행이 가능한 IT 학원이 있을까? 야간·주말·국비지원 기준으로 추천해줘.</v>
      </c>
      <c r="G20" s="10"/>
      <c r="H20" s="10"/>
      <c r="I20" s="14"/>
      <c r="J20" s="10"/>
      <c r="K20" s="12" t="str">
        <f t="shared" si="0"/>
        <v/>
      </c>
      <c r="L20" s="10"/>
      <c r="M20" s="10"/>
      <c r="N20" s="10"/>
      <c r="O20" s="14"/>
      <c r="P20" s="14"/>
    </row>
    <row r="21" spans="1:16" ht="33" x14ac:dyDescent="0.2">
      <c r="A21" s="10"/>
      <c r="B21" s="10"/>
      <c r="C21" s="11" t="s">
        <v>101</v>
      </c>
      <c r="D21" s="11" t="s">
        <v>75</v>
      </c>
      <c r="E21" s="12" t="str">
        <f>IFERROR(VLOOKUP($D21,프롬프트세트!$A$4:$F$12,2,FALSE),"")</f>
        <v>생활형</v>
      </c>
      <c r="F21" s="13" t="str">
        <f>IFERROR(VLOOKUP($D21,프롬프트세트!$A$4:$F$12,4,FALSE),"")</f>
        <v>비전공자가 6개월 안에 취업 준비를 한다면 데이터·AI·개발·보안 중 뭐가 현실적인지 알려줘. 학원 선택 기준도 같이 정리해줘.</v>
      </c>
      <c r="G21" s="10"/>
      <c r="H21" s="10"/>
      <c r="I21" s="14"/>
      <c r="J21" s="10"/>
      <c r="K21" s="12" t="str">
        <f t="shared" si="0"/>
        <v/>
      </c>
      <c r="L21" s="10"/>
      <c r="M21" s="10"/>
      <c r="N21" s="10"/>
      <c r="O21" s="14"/>
      <c r="P21" s="14"/>
    </row>
    <row r="22" spans="1:16" ht="33" x14ac:dyDescent="0.2">
      <c r="A22" s="10"/>
      <c r="B22" s="10"/>
      <c r="C22" s="11" t="s">
        <v>101</v>
      </c>
      <c r="D22" s="11" t="s">
        <v>79</v>
      </c>
      <c r="E22" s="12" t="str">
        <f>IFERROR(VLOOKUP($D22,프롬프트세트!$A$4:$F$12,2,FALSE),"")</f>
        <v>생활형</v>
      </c>
      <c r="F22" s="13" t="str">
        <f>IFERROR(VLOOKUP($D22,프롬프트세트!$A$4:$F$12,4,FALSE),"")</f>
        <v>서울에서 국비지원으로 데이터분석을 배우고 취업까지 노릴 때, 어떤 기준으로 비교하면 좋은지와 대표 후보를 알려줘.</v>
      </c>
      <c r="G22" s="10"/>
      <c r="H22" s="10"/>
      <c r="I22" s="14"/>
      <c r="J22" s="10"/>
      <c r="K22" s="12" t="str">
        <f t="shared" si="0"/>
        <v/>
      </c>
      <c r="L22" s="10"/>
      <c r="M22" s="10"/>
      <c r="N22" s="10"/>
      <c r="O22" s="14"/>
      <c r="P22" s="14"/>
    </row>
    <row r="23" spans="1:16" ht="36" x14ac:dyDescent="0.2">
      <c r="A23" s="10"/>
      <c r="B23" s="10"/>
      <c r="C23" s="11" t="s">
        <v>102</v>
      </c>
      <c r="D23" s="11" t="s">
        <v>43</v>
      </c>
      <c r="E23" s="12" t="str">
        <f>IFERROR(VLOOKUP($D23,프롬프트세트!$A$4:$F$12,2,FALSE),"")</f>
        <v>직접형</v>
      </c>
      <c r="F23" s="13" t="str">
        <f>IFERROR(VLOOKUP($D23,프롬프트세트!$A$4:$F$12,4,FALSE),"")</f>
        <v>메가스터디컴퓨터아카데미의 데이터·AI 국비지원 과정을 알려줘. 대표 과정, 대상자, 수강 방식, 캠퍼스, 공식 링크만 정리해줘.</v>
      </c>
      <c r="G23" s="10"/>
      <c r="H23" s="10"/>
      <c r="I23" s="14"/>
      <c r="J23" s="10"/>
      <c r="K23" s="12" t="str">
        <f t="shared" si="0"/>
        <v/>
      </c>
      <c r="L23" s="10"/>
      <c r="M23" s="10"/>
      <c r="N23" s="10"/>
      <c r="O23" s="14"/>
      <c r="P23" s="14"/>
    </row>
    <row r="24" spans="1:16" ht="49.5" x14ac:dyDescent="0.2">
      <c r="A24" s="10"/>
      <c r="B24" s="10"/>
      <c r="C24" s="11" t="s">
        <v>102</v>
      </c>
      <c r="D24" s="11" t="s">
        <v>49</v>
      </c>
      <c r="E24" s="12" t="str">
        <f>IFERROR(VLOOKUP($D24,프롬프트세트!$A$4:$F$12,2,FALSE),"")</f>
        <v>직접형</v>
      </c>
      <c r="F24" s="13" t="str">
        <f>IFERROR(VLOOKUP($D24,프롬프트세트!$A$4:$F$12,4,FALSE),"")</f>
        <v>강남에서 다닐 수 있는 메가스터디컴퓨터아카데미 IT 과정을 추천해줘. 비전공자 기준으로 개발·데이터·보안 중 어떤 선택이 맞는지 알려줘.</v>
      </c>
      <c r="G24" s="10"/>
      <c r="H24" s="10"/>
      <c r="I24" s="14"/>
      <c r="J24" s="10"/>
      <c r="K24" s="12" t="str">
        <f t="shared" si="0"/>
        <v/>
      </c>
      <c r="L24" s="10"/>
      <c r="M24" s="10"/>
      <c r="N24" s="10"/>
      <c r="O24" s="14"/>
      <c r="P24" s="14"/>
    </row>
    <row r="25" spans="1:16" ht="36" x14ac:dyDescent="0.2">
      <c r="A25" s="10"/>
      <c r="B25" s="10"/>
      <c r="C25" s="11" t="s">
        <v>102</v>
      </c>
      <c r="D25" s="11" t="s">
        <v>53</v>
      </c>
      <c r="E25" s="12" t="str">
        <f>IFERROR(VLOOKUP($D25,프롬프트세트!$A$4:$F$12,2,FALSE),"")</f>
        <v>직접형</v>
      </c>
      <c r="F25" s="13" t="str">
        <f>IFERROR(VLOOKUP($D25,프롬프트세트!$A$4:$F$12,4,FALSE),"")</f>
        <v>메가스터디컴퓨터아카데미에서 취업 준비용 대표 과정 3개를 골라줘. 추천 대상과 확인 포인트만 간단히 알려줘.</v>
      </c>
      <c r="G25" s="10"/>
      <c r="H25" s="10"/>
      <c r="I25" s="14"/>
      <c r="J25" s="10"/>
      <c r="K25" s="12" t="str">
        <f t="shared" si="0"/>
        <v/>
      </c>
      <c r="L25" s="10"/>
      <c r="M25" s="10"/>
      <c r="N25" s="10"/>
      <c r="O25" s="14"/>
      <c r="P25" s="14"/>
    </row>
    <row r="26" spans="1:16" ht="36" x14ac:dyDescent="0.2">
      <c r="A26" s="10"/>
      <c r="B26" s="10"/>
      <c r="C26" s="11" t="s">
        <v>102</v>
      </c>
      <c r="D26" s="11" t="s">
        <v>57</v>
      </c>
      <c r="E26" s="12" t="str">
        <f>IFERROR(VLOOKUP($D26,프롬프트세트!$A$4:$F$12,2,FALSE),"")</f>
        <v>비교형</v>
      </c>
      <c r="F26" s="13" t="str">
        <f>IFERROR(VLOOKUP($D26,프롬프트세트!$A$4:$F$12,4,FALSE),"")</f>
        <v>서울권 국비지원 IT 학원 5곳을 비교해줘. 데이터·개발·보안·디자인 기준으로 장단점과 공식 링크를 보여줘.</v>
      </c>
      <c r="G26" s="10"/>
      <c r="H26" s="10"/>
      <c r="I26" s="14"/>
      <c r="J26" s="10"/>
      <c r="K26" s="12" t="str">
        <f t="shared" si="0"/>
        <v/>
      </c>
      <c r="L26" s="10"/>
      <c r="M26" s="10"/>
      <c r="N26" s="10"/>
      <c r="O26" s="14"/>
      <c r="P26" s="14"/>
    </row>
    <row r="27" spans="1:16" ht="36" x14ac:dyDescent="0.2">
      <c r="A27" s="10"/>
      <c r="B27" s="10"/>
      <c r="C27" s="11" t="s">
        <v>102</v>
      </c>
      <c r="D27" s="11" t="s">
        <v>62</v>
      </c>
      <c r="E27" s="12" t="str">
        <f>IFERROR(VLOOKUP($D27,프롬프트세트!$A$4:$F$12,2,FALSE),"")</f>
        <v>비교형</v>
      </c>
      <c r="F27" s="13" t="str">
        <f>IFERROR(VLOOKUP($D27,프롬프트세트!$A$4:$F$12,4,FALSE),"")</f>
        <v>강남과 종로에서 다닐 수 있는 IT 학원을 비교해줘. 직장 병행, 국비지원, 취업지원, 접근성 기준으로 정리해줘.</v>
      </c>
      <c r="G27" s="10"/>
      <c r="H27" s="10"/>
      <c r="I27" s="14"/>
      <c r="J27" s="10"/>
      <c r="K27" s="12" t="str">
        <f t="shared" si="0"/>
        <v/>
      </c>
      <c r="L27" s="10"/>
      <c r="M27" s="10"/>
      <c r="N27" s="10"/>
      <c r="O27" s="14"/>
      <c r="P27" s="14"/>
    </row>
    <row r="28" spans="1:16" ht="36" x14ac:dyDescent="0.2">
      <c r="A28" s="10"/>
      <c r="B28" s="10"/>
      <c r="C28" s="11" t="s">
        <v>102</v>
      </c>
      <c r="D28" s="11" t="s">
        <v>66</v>
      </c>
      <c r="E28" s="12" t="str">
        <f>IFERROR(VLOOKUP($D28,프롬프트세트!$A$4:$F$12,2,FALSE),"")</f>
        <v>비교형</v>
      </c>
      <c r="F28" s="13" t="str">
        <f>IFERROR(VLOOKUP($D28,프롬프트세트!$A$4:$F$12,4,FALSE),"")</f>
        <v>IT 학원을 비교할 때 봐야 할 기준을 정리해줘. 커리큘럼, 후기, 취업지원, 접근성, 상담 품질 중심으로 알려줘.</v>
      </c>
      <c r="G28" s="10"/>
      <c r="H28" s="10"/>
      <c r="I28" s="14"/>
      <c r="J28" s="10"/>
      <c r="K28" s="12" t="str">
        <f t="shared" si="0"/>
        <v/>
      </c>
      <c r="L28" s="10"/>
      <c r="M28" s="10"/>
      <c r="N28" s="10"/>
      <c r="O28" s="14"/>
      <c r="P28" s="14"/>
    </row>
    <row r="29" spans="1:16" ht="36" x14ac:dyDescent="0.2">
      <c r="A29" s="10"/>
      <c r="B29" s="10"/>
      <c r="C29" s="11" t="s">
        <v>102</v>
      </c>
      <c r="D29" s="11" t="s">
        <v>70</v>
      </c>
      <c r="E29" s="12" t="str">
        <f>IFERROR(VLOOKUP($D29,프롬프트세트!$A$4:$F$12,2,FALSE),"")</f>
        <v>생활형</v>
      </c>
      <c r="F29" s="13" t="str">
        <f>IFERROR(VLOOKUP($D29,프롬프트세트!$A$4:$F$12,4,FALSE),"")</f>
        <v>직장 병행이 가능한 IT 학원이 있을까? 야간·주말·국비지원 기준으로 추천해줘.</v>
      </c>
      <c r="G29" s="10"/>
      <c r="H29" s="10"/>
      <c r="I29" s="14"/>
      <c r="J29" s="10"/>
      <c r="K29" s="12" t="str">
        <f t="shared" si="0"/>
        <v/>
      </c>
      <c r="L29" s="10"/>
      <c r="M29" s="10"/>
      <c r="N29" s="10"/>
      <c r="O29" s="14"/>
      <c r="P29" s="14"/>
    </row>
    <row r="30" spans="1:16" ht="36" x14ac:dyDescent="0.2">
      <c r="A30" s="10"/>
      <c r="B30" s="10"/>
      <c r="C30" s="11" t="s">
        <v>102</v>
      </c>
      <c r="D30" s="11" t="s">
        <v>75</v>
      </c>
      <c r="E30" s="12" t="str">
        <f>IFERROR(VLOOKUP($D30,프롬프트세트!$A$4:$F$12,2,FALSE),"")</f>
        <v>생활형</v>
      </c>
      <c r="F30" s="13" t="str">
        <f>IFERROR(VLOOKUP($D30,프롬프트세트!$A$4:$F$12,4,FALSE),"")</f>
        <v>비전공자가 6개월 안에 취업 준비를 한다면 데이터·AI·개발·보안 중 뭐가 현실적인지 알려줘. 학원 선택 기준도 같이 정리해줘.</v>
      </c>
      <c r="G30" s="10"/>
      <c r="H30" s="10"/>
      <c r="I30" s="14"/>
      <c r="J30" s="10"/>
      <c r="K30" s="12" t="str">
        <f t="shared" si="0"/>
        <v/>
      </c>
      <c r="L30" s="10"/>
      <c r="M30" s="10"/>
      <c r="N30" s="10"/>
      <c r="O30" s="14"/>
      <c r="P30" s="14"/>
    </row>
    <row r="31" spans="1:16" ht="36" x14ac:dyDescent="0.2">
      <c r="A31" s="10"/>
      <c r="B31" s="10"/>
      <c r="C31" s="11" t="s">
        <v>102</v>
      </c>
      <c r="D31" s="11" t="s">
        <v>79</v>
      </c>
      <c r="E31" s="12" t="str">
        <f>IFERROR(VLOOKUP($D31,프롬프트세트!$A$4:$F$12,2,FALSE),"")</f>
        <v>생활형</v>
      </c>
      <c r="F31" s="13" t="str">
        <f>IFERROR(VLOOKUP($D31,프롬프트세트!$A$4:$F$12,4,FALSE),"")</f>
        <v>서울에서 국비지원으로 데이터분석을 배우고 취업까지 노릴 때, 어떤 기준으로 비교하면 좋은지와 대표 후보를 알려줘.</v>
      </c>
      <c r="G31" s="10"/>
      <c r="H31" s="10"/>
      <c r="I31" s="14"/>
      <c r="J31" s="10"/>
      <c r="K31" s="12" t="str">
        <f t="shared" si="0"/>
        <v/>
      </c>
      <c r="L31" s="10"/>
      <c r="M31" s="10"/>
      <c r="N31" s="10"/>
      <c r="O31" s="14"/>
      <c r="P31" s="14"/>
    </row>
    <row r="32" spans="1:1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P1"/>
    <mergeCell ref="B2:P2"/>
  </mergeCells>
  <phoneticPr fontId="14" type="noConversion"/>
  <dataValidations count="4">
    <dataValidation type="list" allowBlank="1" sqref="N5:N31">
      <formula1>"메인,과정,캠퍼스,후기,포트폴리오,뉴스/매거진,기타"</formula1>
    </dataValidation>
    <dataValidation type="list" allowBlank="1" sqref="G5:H31">
      <formula1>"Y,N"</formula1>
    </dataValidation>
    <dataValidation type="list" allowBlank="1" sqref="J5:J31">
      <formula1>"Tier 1,Tier 2,Tier 3,Tier 4"</formula1>
    </dataValidation>
    <dataValidation type="list" allowBlank="1" sqref="L5:L31">
      <formula1>"첫 문단,리스트/표 본문,보충설명,미언급"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"/>
  <sheetViews>
    <sheetView workbookViewId="0">
      <selection activeCell="R21" sqref="R21"/>
    </sheetView>
  </sheetViews>
  <sheetFormatPr defaultColWidth="12.5703125" defaultRowHeight="12.75" x14ac:dyDescent="0.2"/>
  <cols>
    <col min="1" max="1" width="19.28515625" customWidth="1"/>
    <col min="2" max="2" width="12.28515625" customWidth="1"/>
    <col min="3" max="4" width="10.42578125" customWidth="1"/>
    <col min="5" max="5" width="9.5703125" customWidth="1"/>
    <col min="6" max="6" width="8.7109375" customWidth="1"/>
    <col min="7" max="7" width="12.28515625" customWidth="1"/>
    <col min="8" max="13" width="10.42578125" customWidth="1"/>
    <col min="14" max="16" width="8.7109375" customWidth="1"/>
    <col min="17" max="18" width="12.28515625" customWidth="1"/>
    <col min="19" max="19" width="10.42578125" customWidth="1"/>
    <col min="20" max="20" width="24.42578125" customWidth="1"/>
    <col min="21" max="21" width="30.5703125" customWidth="1"/>
    <col min="22" max="24" width="7.5703125" customWidth="1"/>
  </cols>
  <sheetData>
    <row r="1" spans="1:24" ht="18" customHeight="1" x14ac:dyDescent="0.35">
      <c r="A1" s="36" t="s">
        <v>103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1"/>
      <c r="W1" s="1"/>
      <c r="X1" s="1"/>
    </row>
    <row r="2" spans="1:24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3" x14ac:dyDescent="0.35">
      <c r="A3" s="4" t="s">
        <v>104</v>
      </c>
      <c r="B3" s="4" t="s">
        <v>105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112</v>
      </c>
      <c r="J3" s="4" t="s">
        <v>113</v>
      </c>
      <c r="K3" s="4" t="s">
        <v>114</v>
      </c>
      <c r="L3" s="4" t="s">
        <v>115</v>
      </c>
      <c r="M3" s="4" t="s">
        <v>116</v>
      </c>
      <c r="N3" s="4" t="s">
        <v>117</v>
      </c>
      <c r="O3" s="4" t="s">
        <v>118</v>
      </c>
      <c r="P3" s="4" t="s">
        <v>119</v>
      </c>
      <c r="Q3" s="4" t="s">
        <v>120</v>
      </c>
      <c r="R3" s="4" t="s">
        <v>121</v>
      </c>
      <c r="S3" s="4" t="s">
        <v>122</v>
      </c>
      <c r="T3" s="4" t="s">
        <v>123</v>
      </c>
      <c r="U3" s="4" t="s">
        <v>124</v>
      </c>
      <c r="V3" s="1"/>
      <c r="W3" s="1"/>
      <c r="X3" s="1"/>
    </row>
    <row r="4" spans="1:24" ht="18" x14ac:dyDescent="0.35">
      <c r="A4" s="6" t="s">
        <v>125</v>
      </c>
      <c r="B4" s="7" t="s">
        <v>126</v>
      </c>
      <c r="C4" s="7" t="s">
        <v>48</v>
      </c>
      <c r="D4" s="15">
        <v>1122</v>
      </c>
      <c r="E4" s="15">
        <v>6</v>
      </c>
      <c r="F4" s="16">
        <v>5.3E-3</v>
      </c>
      <c r="G4" s="17">
        <v>8</v>
      </c>
      <c r="H4" s="10" t="s">
        <v>127</v>
      </c>
      <c r="I4" s="10" t="s">
        <v>127</v>
      </c>
      <c r="J4" s="12" t="str">
        <f t="shared" ref="J4:J13" si="0">IF(OR(H4="",I4=""),"",I4-H4)</f>
        <v/>
      </c>
      <c r="K4" s="10" t="s">
        <v>127</v>
      </c>
      <c r="L4" s="10" t="s">
        <v>127</v>
      </c>
      <c r="M4" s="12" t="str">
        <f t="shared" ref="M4:M13" si="1">IF(OR(K4="",L4=""),"",L4-K4)</f>
        <v/>
      </c>
      <c r="N4" s="18" t="s">
        <v>127</v>
      </c>
      <c r="O4" s="18" t="s">
        <v>127</v>
      </c>
      <c r="P4" s="19" t="str">
        <f t="shared" ref="P4:P13" si="2">IF(OR(N4="",O4=""),"",O4-N4)</f>
        <v/>
      </c>
      <c r="Q4" s="20" t="s">
        <v>127</v>
      </c>
      <c r="R4" s="20" t="s">
        <v>127</v>
      </c>
      <c r="S4" s="21" t="str">
        <f t="shared" ref="S4:S13" si="3">IF(OR(Q4="",R4=""),"",R4-Q4)</f>
        <v/>
      </c>
      <c r="T4" s="22" t="s">
        <v>127</v>
      </c>
      <c r="U4" s="6"/>
      <c r="V4" s="1"/>
      <c r="W4" s="1"/>
      <c r="X4" s="1"/>
    </row>
    <row r="5" spans="1:24" ht="18" x14ac:dyDescent="0.35">
      <c r="A5" s="6" t="s">
        <v>128</v>
      </c>
      <c r="B5" s="7" t="s">
        <v>126</v>
      </c>
      <c r="C5" s="7" t="s">
        <v>48</v>
      </c>
      <c r="D5" s="15">
        <v>755</v>
      </c>
      <c r="E5" s="15">
        <v>7</v>
      </c>
      <c r="F5" s="16">
        <v>9.2999999999999992E-3</v>
      </c>
      <c r="G5" s="17">
        <v>8.4</v>
      </c>
      <c r="H5" s="10" t="s">
        <v>127</v>
      </c>
      <c r="I5" s="10" t="s">
        <v>127</v>
      </c>
      <c r="J5" s="12" t="str">
        <f t="shared" si="0"/>
        <v/>
      </c>
      <c r="K5" s="10" t="s">
        <v>127</v>
      </c>
      <c r="L5" s="10" t="s">
        <v>127</v>
      </c>
      <c r="M5" s="12" t="str">
        <f t="shared" si="1"/>
        <v/>
      </c>
      <c r="N5" s="18" t="s">
        <v>127</v>
      </c>
      <c r="O5" s="18" t="s">
        <v>127</v>
      </c>
      <c r="P5" s="19" t="str">
        <f t="shared" si="2"/>
        <v/>
      </c>
      <c r="Q5" s="20" t="s">
        <v>127</v>
      </c>
      <c r="R5" s="20" t="s">
        <v>127</v>
      </c>
      <c r="S5" s="21" t="str">
        <f t="shared" si="3"/>
        <v/>
      </c>
      <c r="T5" s="22" t="s">
        <v>127</v>
      </c>
      <c r="U5" s="6"/>
      <c r="V5" s="1"/>
      <c r="W5" s="1"/>
      <c r="X5" s="1"/>
    </row>
    <row r="6" spans="1:24" ht="18" x14ac:dyDescent="0.35">
      <c r="A6" s="6" t="s">
        <v>129</v>
      </c>
      <c r="B6" s="7" t="s">
        <v>126</v>
      </c>
      <c r="C6" s="7" t="s">
        <v>48</v>
      </c>
      <c r="D6" s="15">
        <v>162</v>
      </c>
      <c r="E6" s="15">
        <v>1</v>
      </c>
      <c r="F6" s="16">
        <v>6.1999999999999998E-3</v>
      </c>
      <c r="G6" s="17">
        <v>6.9</v>
      </c>
      <c r="H6" s="10" t="s">
        <v>127</v>
      </c>
      <c r="I6" s="10" t="s">
        <v>127</v>
      </c>
      <c r="J6" s="12" t="str">
        <f t="shared" si="0"/>
        <v/>
      </c>
      <c r="K6" s="10" t="s">
        <v>127</v>
      </c>
      <c r="L6" s="10" t="s">
        <v>127</v>
      </c>
      <c r="M6" s="12" t="str">
        <f t="shared" si="1"/>
        <v/>
      </c>
      <c r="N6" s="18" t="s">
        <v>127</v>
      </c>
      <c r="O6" s="18" t="s">
        <v>127</v>
      </c>
      <c r="P6" s="19" t="str">
        <f t="shared" si="2"/>
        <v/>
      </c>
      <c r="Q6" s="20" t="s">
        <v>127</v>
      </c>
      <c r="R6" s="20" t="s">
        <v>127</v>
      </c>
      <c r="S6" s="21" t="str">
        <f t="shared" si="3"/>
        <v/>
      </c>
      <c r="T6" s="22" t="s">
        <v>127</v>
      </c>
      <c r="U6" s="6"/>
      <c r="V6" s="1"/>
      <c r="W6" s="1"/>
      <c r="X6" s="1"/>
    </row>
    <row r="7" spans="1:24" ht="18" x14ac:dyDescent="0.35">
      <c r="A7" s="6" t="s">
        <v>130</v>
      </c>
      <c r="B7" s="7" t="s">
        <v>126</v>
      </c>
      <c r="C7" s="7" t="s">
        <v>48</v>
      </c>
      <c r="D7" s="15">
        <v>96</v>
      </c>
      <c r="E7" s="15">
        <v>1</v>
      </c>
      <c r="F7" s="16">
        <v>1.04E-2</v>
      </c>
      <c r="G7" s="17">
        <v>6.8</v>
      </c>
      <c r="H7" s="10" t="s">
        <v>127</v>
      </c>
      <c r="I7" s="10" t="s">
        <v>127</v>
      </c>
      <c r="J7" s="12" t="str">
        <f t="shared" si="0"/>
        <v/>
      </c>
      <c r="K7" s="10" t="s">
        <v>127</v>
      </c>
      <c r="L7" s="10" t="s">
        <v>127</v>
      </c>
      <c r="M7" s="12" t="str">
        <f t="shared" si="1"/>
        <v/>
      </c>
      <c r="N7" s="18" t="s">
        <v>127</v>
      </c>
      <c r="O7" s="18" t="s">
        <v>127</v>
      </c>
      <c r="P7" s="19" t="str">
        <f t="shared" si="2"/>
        <v/>
      </c>
      <c r="Q7" s="20" t="s">
        <v>127</v>
      </c>
      <c r="R7" s="20" t="s">
        <v>127</v>
      </c>
      <c r="S7" s="21" t="str">
        <f t="shared" si="3"/>
        <v/>
      </c>
      <c r="T7" s="22" t="s">
        <v>127</v>
      </c>
      <c r="U7" s="6"/>
      <c r="V7" s="1"/>
      <c r="W7" s="1"/>
      <c r="X7" s="1"/>
    </row>
    <row r="8" spans="1:24" ht="18" x14ac:dyDescent="0.35">
      <c r="A8" s="6" t="s">
        <v>131</v>
      </c>
      <c r="B8" s="7" t="s">
        <v>126</v>
      </c>
      <c r="C8" s="7" t="s">
        <v>48</v>
      </c>
      <c r="D8" s="15">
        <v>82</v>
      </c>
      <c r="E8" s="15">
        <v>1</v>
      </c>
      <c r="F8" s="16">
        <v>1.2200000000000001E-2</v>
      </c>
      <c r="G8" s="17">
        <v>6.3</v>
      </c>
      <c r="H8" s="10" t="s">
        <v>127</v>
      </c>
      <c r="I8" s="10" t="s">
        <v>127</v>
      </c>
      <c r="J8" s="12" t="str">
        <f t="shared" si="0"/>
        <v/>
      </c>
      <c r="K8" s="10" t="s">
        <v>127</v>
      </c>
      <c r="L8" s="10" t="s">
        <v>127</v>
      </c>
      <c r="M8" s="12" t="str">
        <f t="shared" si="1"/>
        <v/>
      </c>
      <c r="N8" s="18" t="s">
        <v>127</v>
      </c>
      <c r="O8" s="18" t="s">
        <v>127</v>
      </c>
      <c r="P8" s="19" t="str">
        <f t="shared" si="2"/>
        <v/>
      </c>
      <c r="Q8" s="20" t="s">
        <v>127</v>
      </c>
      <c r="R8" s="20" t="s">
        <v>127</v>
      </c>
      <c r="S8" s="21" t="str">
        <f t="shared" si="3"/>
        <v/>
      </c>
      <c r="T8" s="22" t="s">
        <v>127</v>
      </c>
      <c r="U8" s="6"/>
      <c r="V8" s="1"/>
      <c r="W8" s="1"/>
      <c r="X8" s="1"/>
    </row>
    <row r="9" spans="1:24" ht="18" x14ac:dyDescent="0.35">
      <c r="A9" s="6" t="s">
        <v>132</v>
      </c>
      <c r="B9" s="7" t="s">
        <v>126</v>
      </c>
      <c r="C9" s="7" t="s">
        <v>48</v>
      </c>
      <c r="D9" s="15">
        <v>79</v>
      </c>
      <c r="E9" s="15">
        <v>1</v>
      </c>
      <c r="F9" s="16">
        <v>1.2699999999999999E-2</v>
      </c>
      <c r="G9" s="17">
        <v>6.5</v>
      </c>
      <c r="H9" s="10" t="s">
        <v>127</v>
      </c>
      <c r="I9" s="10" t="s">
        <v>127</v>
      </c>
      <c r="J9" s="12" t="str">
        <f t="shared" si="0"/>
        <v/>
      </c>
      <c r="K9" s="10" t="s">
        <v>127</v>
      </c>
      <c r="L9" s="10" t="s">
        <v>127</v>
      </c>
      <c r="M9" s="12" t="str">
        <f t="shared" si="1"/>
        <v/>
      </c>
      <c r="N9" s="18" t="s">
        <v>127</v>
      </c>
      <c r="O9" s="18" t="s">
        <v>127</v>
      </c>
      <c r="P9" s="19" t="str">
        <f t="shared" si="2"/>
        <v/>
      </c>
      <c r="Q9" s="20" t="s">
        <v>127</v>
      </c>
      <c r="R9" s="20" t="s">
        <v>127</v>
      </c>
      <c r="S9" s="21" t="str">
        <f t="shared" si="3"/>
        <v/>
      </c>
      <c r="T9" s="22" t="s">
        <v>127</v>
      </c>
      <c r="U9" s="6"/>
      <c r="V9" s="1"/>
      <c r="W9" s="1"/>
      <c r="X9" s="1"/>
    </row>
    <row r="10" spans="1:24" ht="18" x14ac:dyDescent="0.35">
      <c r="A10" s="6" t="s">
        <v>133</v>
      </c>
      <c r="B10" s="7" t="s">
        <v>126</v>
      </c>
      <c r="C10" s="7" t="s">
        <v>48</v>
      </c>
      <c r="D10" s="15">
        <v>62</v>
      </c>
      <c r="E10" s="15">
        <v>1</v>
      </c>
      <c r="F10" s="16">
        <v>1.61E-2</v>
      </c>
      <c r="G10" s="17">
        <v>9.6</v>
      </c>
      <c r="H10" s="10" t="s">
        <v>127</v>
      </c>
      <c r="I10" s="10" t="s">
        <v>127</v>
      </c>
      <c r="J10" s="12" t="str">
        <f t="shared" si="0"/>
        <v/>
      </c>
      <c r="K10" s="10" t="s">
        <v>127</v>
      </c>
      <c r="L10" s="10" t="s">
        <v>127</v>
      </c>
      <c r="M10" s="12" t="str">
        <f t="shared" si="1"/>
        <v/>
      </c>
      <c r="N10" s="18" t="s">
        <v>127</v>
      </c>
      <c r="O10" s="18" t="s">
        <v>127</v>
      </c>
      <c r="P10" s="19" t="str">
        <f t="shared" si="2"/>
        <v/>
      </c>
      <c r="Q10" s="20" t="s">
        <v>127</v>
      </c>
      <c r="R10" s="20" t="s">
        <v>127</v>
      </c>
      <c r="S10" s="21" t="str">
        <f t="shared" si="3"/>
        <v/>
      </c>
      <c r="T10" s="22" t="s">
        <v>127</v>
      </c>
      <c r="U10" s="6"/>
      <c r="V10" s="1"/>
      <c r="W10" s="1"/>
      <c r="X10" s="1"/>
    </row>
    <row r="11" spans="1:24" ht="18" x14ac:dyDescent="0.35">
      <c r="A11" s="6" t="s">
        <v>134</v>
      </c>
      <c r="B11" s="7" t="s">
        <v>126</v>
      </c>
      <c r="C11" s="7" t="s">
        <v>48</v>
      </c>
      <c r="D11" s="15">
        <v>56</v>
      </c>
      <c r="E11" s="15">
        <v>1</v>
      </c>
      <c r="F11" s="16">
        <v>1.7899999999999999E-2</v>
      </c>
      <c r="G11" s="17">
        <v>5.4</v>
      </c>
      <c r="H11" s="10" t="s">
        <v>127</v>
      </c>
      <c r="I11" s="10" t="s">
        <v>127</v>
      </c>
      <c r="J11" s="12" t="str">
        <f t="shared" si="0"/>
        <v/>
      </c>
      <c r="K11" s="10" t="s">
        <v>127</v>
      </c>
      <c r="L11" s="10" t="s">
        <v>127</v>
      </c>
      <c r="M11" s="12" t="str">
        <f t="shared" si="1"/>
        <v/>
      </c>
      <c r="N11" s="18" t="s">
        <v>127</v>
      </c>
      <c r="O11" s="18" t="s">
        <v>127</v>
      </c>
      <c r="P11" s="19" t="str">
        <f t="shared" si="2"/>
        <v/>
      </c>
      <c r="Q11" s="20" t="s">
        <v>127</v>
      </c>
      <c r="R11" s="20" t="s">
        <v>127</v>
      </c>
      <c r="S11" s="21" t="str">
        <f t="shared" si="3"/>
        <v/>
      </c>
      <c r="T11" s="22" t="s">
        <v>127</v>
      </c>
      <c r="U11" s="6"/>
      <c r="V11" s="1"/>
      <c r="W11" s="1"/>
      <c r="X11" s="1"/>
    </row>
    <row r="12" spans="1:24" ht="18" x14ac:dyDescent="0.35">
      <c r="A12" s="6" t="s">
        <v>135</v>
      </c>
      <c r="B12" s="7" t="s">
        <v>126</v>
      </c>
      <c r="C12" s="7" t="s">
        <v>48</v>
      </c>
      <c r="D12" s="15">
        <v>54</v>
      </c>
      <c r="E12" s="15">
        <v>1</v>
      </c>
      <c r="F12" s="16">
        <v>1.8499999999999999E-2</v>
      </c>
      <c r="G12" s="17">
        <v>5.8</v>
      </c>
      <c r="H12" s="10" t="s">
        <v>127</v>
      </c>
      <c r="I12" s="10" t="s">
        <v>127</v>
      </c>
      <c r="J12" s="12" t="str">
        <f t="shared" si="0"/>
        <v/>
      </c>
      <c r="K12" s="10" t="s">
        <v>127</v>
      </c>
      <c r="L12" s="10" t="s">
        <v>127</v>
      </c>
      <c r="M12" s="12" t="str">
        <f t="shared" si="1"/>
        <v/>
      </c>
      <c r="N12" s="18" t="s">
        <v>127</v>
      </c>
      <c r="O12" s="18" t="s">
        <v>127</v>
      </c>
      <c r="P12" s="19" t="str">
        <f t="shared" si="2"/>
        <v/>
      </c>
      <c r="Q12" s="20" t="s">
        <v>127</v>
      </c>
      <c r="R12" s="20" t="s">
        <v>127</v>
      </c>
      <c r="S12" s="21" t="str">
        <f t="shared" si="3"/>
        <v/>
      </c>
      <c r="T12" s="22" t="s">
        <v>127</v>
      </c>
      <c r="U12" s="6"/>
      <c r="V12" s="1"/>
      <c r="W12" s="1"/>
      <c r="X12" s="1"/>
    </row>
    <row r="13" spans="1:24" ht="18" x14ac:dyDescent="0.35">
      <c r="A13" s="6" t="s">
        <v>136</v>
      </c>
      <c r="B13" s="7" t="s">
        <v>126</v>
      </c>
      <c r="C13" s="7" t="s">
        <v>48</v>
      </c>
      <c r="D13" s="15">
        <v>51</v>
      </c>
      <c r="E13" s="15">
        <v>1</v>
      </c>
      <c r="F13" s="16">
        <v>1.9599999999999999E-2</v>
      </c>
      <c r="G13" s="17">
        <v>8.6</v>
      </c>
      <c r="H13" s="10" t="s">
        <v>127</v>
      </c>
      <c r="I13" s="10" t="s">
        <v>127</v>
      </c>
      <c r="J13" s="12" t="str">
        <f t="shared" si="0"/>
        <v/>
      </c>
      <c r="K13" s="10" t="s">
        <v>127</v>
      </c>
      <c r="L13" s="10" t="s">
        <v>127</v>
      </c>
      <c r="M13" s="12" t="str">
        <f t="shared" si="1"/>
        <v/>
      </c>
      <c r="N13" s="18" t="s">
        <v>127</v>
      </c>
      <c r="O13" s="18" t="s">
        <v>127</v>
      </c>
      <c r="P13" s="19" t="str">
        <f t="shared" si="2"/>
        <v/>
      </c>
      <c r="Q13" s="20" t="s">
        <v>127</v>
      </c>
      <c r="R13" s="20" t="s">
        <v>127</v>
      </c>
      <c r="S13" s="21" t="str">
        <f t="shared" si="3"/>
        <v/>
      </c>
      <c r="T13" s="22" t="s">
        <v>127</v>
      </c>
      <c r="U13" s="6"/>
      <c r="V13" s="1"/>
      <c r="W13" s="1"/>
      <c r="X13" s="1"/>
    </row>
    <row r="14" spans="1:24" ht="18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ht="18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ht="18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8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8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8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8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8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8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8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8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8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4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4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4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4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4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4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4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4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1">
    <mergeCell ref="A1:U1"/>
  </mergeCells>
  <phoneticPr fontId="14" type="noConversion"/>
  <dataValidations count="1">
    <dataValidation type="list" allowBlank="1" sqref="C4:C13">
      <formula1>"Y,N"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"/>
  <sheetViews>
    <sheetView showGridLines="0" workbookViewId="0">
      <selection activeCell="J16" sqref="J16"/>
    </sheetView>
  </sheetViews>
  <sheetFormatPr defaultColWidth="12.5703125" defaultRowHeight="12.75" x14ac:dyDescent="0.2"/>
  <cols>
    <col min="1" max="1" width="15" customWidth="1"/>
    <col min="2" max="2" width="25" customWidth="1"/>
    <col min="3" max="3" width="29.7109375" customWidth="1"/>
    <col min="4" max="4" width="21" customWidth="1"/>
    <col min="5" max="5" width="17.42578125" customWidth="1"/>
    <col min="6" max="6" width="22.140625" customWidth="1"/>
    <col min="7" max="24" width="7.5703125" customWidth="1"/>
  </cols>
  <sheetData>
    <row r="1" spans="1:24" ht="18" x14ac:dyDescent="0.35">
      <c r="A1" s="36" t="s">
        <v>137</v>
      </c>
      <c r="B1" s="31"/>
      <c r="C1" s="31"/>
      <c r="D1" s="31"/>
      <c r="E1" s="31"/>
      <c r="F1" s="3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x14ac:dyDescent="0.35">
      <c r="A3" s="35" t="s">
        <v>138</v>
      </c>
      <c r="B3" s="31"/>
      <c r="C3" s="31"/>
      <c r="D3" s="31"/>
      <c r="E3" s="31"/>
      <c r="F3" s="3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" x14ac:dyDescent="0.35">
      <c r="A4" s="23" t="s">
        <v>139</v>
      </c>
      <c r="B4" s="23" t="s">
        <v>140</v>
      </c>
      <c r="C4" s="23" t="s">
        <v>141</v>
      </c>
      <c r="D4" s="23" t="s">
        <v>142</v>
      </c>
      <c r="E4" s="23" t="s">
        <v>143</v>
      </c>
      <c r="F4" s="23" t="s">
        <v>144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ht="18" x14ac:dyDescent="0.35">
      <c r="A5" s="7" t="s">
        <v>145</v>
      </c>
      <c r="B5" s="6" t="s">
        <v>146</v>
      </c>
      <c r="C5" s="10" t="s">
        <v>127</v>
      </c>
      <c r="D5" s="10" t="s">
        <v>127</v>
      </c>
      <c r="E5" s="24" t="str">
        <f t="shared" ref="E5:E19" si="0">IF(OR(C5="",D5=""),"",D5-C5)</f>
        <v/>
      </c>
      <c r="F5" s="7" t="s">
        <v>147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ht="18" x14ac:dyDescent="0.35">
      <c r="A6" s="7" t="s">
        <v>145</v>
      </c>
      <c r="B6" s="6" t="s">
        <v>148</v>
      </c>
      <c r="C6" s="10" t="s">
        <v>127</v>
      </c>
      <c r="D6" s="10" t="s">
        <v>127</v>
      </c>
      <c r="E6" s="24" t="str">
        <f t="shared" si="0"/>
        <v/>
      </c>
      <c r="F6" s="7" t="s">
        <v>147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ht="18" x14ac:dyDescent="0.35">
      <c r="A7" s="7" t="s">
        <v>145</v>
      </c>
      <c r="B7" s="6" t="s">
        <v>149</v>
      </c>
      <c r="C7" s="10" t="s">
        <v>127</v>
      </c>
      <c r="D7" s="10" t="s">
        <v>127</v>
      </c>
      <c r="E7" s="24" t="str">
        <f t="shared" si="0"/>
        <v/>
      </c>
      <c r="F7" s="7" t="s">
        <v>147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ht="18" x14ac:dyDescent="0.35">
      <c r="A8" s="7" t="s">
        <v>150</v>
      </c>
      <c r="B8" s="6" t="s">
        <v>151</v>
      </c>
      <c r="C8" s="10" t="s">
        <v>127</v>
      </c>
      <c r="D8" s="10" t="s">
        <v>127</v>
      </c>
      <c r="E8" s="24" t="str">
        <f t="shared" si="0"/>
        <v/>
      </c>
      <c r="F8" s="7" t="s">
        <v>152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ht="18" x14ac:dyDescent="0.35">
      <c r="A9" s="7" t="s">
        <v>150</v>
      </c>
      <c r="B9" s="6" t="s">
        <v>153</v>
      </c>
      <c r="C9" s="10" t="s">
        <v>127</v>
      </c>
      <c r="D9" s="10" t="s">
        <v>127</v>
      </c>
      <c r="E9" s="24" t="str">
        <f t="shared" si="0"/>
        <v/>
      </c>
      <c r="F9" s="7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ht="18" x14ac:dyDescent="0.35">
      <c r="A10" s="7" t="s">
        <v>150</v>
      </c>
      <c r="B10" s="6" t="s">
        <v>154</v>
      </c>
      <c r="C10" s="18" t="s">
        <v>127</v>
      </c>
      <c r="D10" s="18" t="s">
        <v>127</v>
      </c>
      <c r="E10" s="25" t="str">
        <f t="shared" si="0"/>
        <v/>
      </c>
      <c r="F10" s="7" t="s">
        <v>152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ht="18" x14ac:dyDescent="0.35">
      <c r="A11" s="7" t="s">
        <v>150</v>
      </c>
      <c r="B11" s="6" t="s">
        <v>155</v>
      </c>
      <c r="C11" s="26" t="s">
        <v>127</v>
      </c>
      <c r="D11" s="26" t="s">
        <v>127</v>
      </c>
      <c r="E11" s="27" t="str">
        <f t="shared" si="0"/>
        <v/>
      </c>
      <c r="F11" s="7" t="s">
        <v>152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ht="18" x14ac:dyDescent="0.35">
      <c r="A12" s="7" t="s">
        <v>150</v>
      </c>
      <c r="B12" s="6" t="s">
        <v>156</v>
      </c>
      <c r="C12" s="10" t="s">
        <v>127</v>
      </c>
      <c r="D12" s="10" t="s">
        <v>127</v>
      </c>
      <c r="E12" s="24" t="str">
        <f t="shared" si="0"/>
        <v/>
      </c>
      <c r="F12" s="7" t="s">
        <v>152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ht="18" x14ac:dyDescent="0.35">
      <c r="A13" s="7" t="s">
        <v>150</v>
      </c>
      <c r="B13" s="6" t="s">
        <v>157</v>
      </c>
      <c r="C13" s="10" t="s">
        <v>127</v>
      </c>
      <c r="D13" s="10" t="s">
        <v>127</v>
      </c>
      <c r="E13" s="24" t="str">
        <f t="shared" si="0"/>
        <v/>
      </c>
      <c r="F13" s="7" t="s">
        <v>152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ht="18" x14ac:dyDescent="0.35">
      <c r="A14" s="7" t="s">
        <v>158</v>
      </c>
      <c r="B14" s="6" t="s">
        <v>159</v>
      </c>
      <c r="C14" s="18" t="s">
        <v>127</v>
      </c>
      <c r="D14" s="25" t="str">
        <f>IFERROR(COUNTIFS(GEO프롬프트테스트결과!$A$5:$A$200,"&lt;&gt;",GEO프롬프트테스트결과!$G$5:$G$200,"Y")/COUNTIF(GEO프롬프트테스트결과!$A$5:$A$200,"&lt;&gt;"),"")</f>
        <v/>
      </c>
      <c r="E14" s="25" t="str">
        <f t="shared" si="0"/>
        <v/>
      </c>
      <c r="F14" s="7" t="s">
        <v>169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ht="18" x14ac:dyDescent="0.35">
      <c r="A15" s="7" t="s">
        <v>158</v>
      </c>
      <c r="B15" s="6" t="s">
        <v>160</v>
      </c>
      <c r="C15" s="18" t="s">
        <v>127</v>
      </c>
      <c r="D15" s="25" t="str">
        <f>IFERROR(COUNTIFS(GEO프롬프트테스트결과!$A$5:$A$200,"&lt;&gt;",GEO프롬프트테스트결과!$H$5:$H$200,"Y")/COUNTIF(GEO프롬프트테스트결과!$A$5:$A$200,"&lt;&gt;"),"")</f>
        <v/>
      </c>
      <c r="E15" s="25" t="str">
        <f t="shared" si="0"/>
        <v/>
      </c>
      <c r="F15" s="7" t="s">
        <v>169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ht="18" x14ac:dyDescent="0.35">
      <c r="A16" s="7" t="s">
        <v>158</v>
      </c>
      <c r="B16" s="6" t="s">
        <v>161</v>
      </c>
      <c r="C16" s="26" t="s">
        <v>127</v>
      </c>
      <c r="D16" s="27" t="str">
        <f>IFERROR(AVERAGEIFS(GEO프롬프트테스트결과!$K$5:$K$200,GEO프롬프트테스트결과!$A$5:$A$200,"&lt;&gt;"),"")</f>
        <v/>
      </c>
      <c r="E16" s="27" t="str">
        <f t="shared" si="0"/>
        <v/>
      </c>
      <c r="F16" s="7" t="s">
        <v>169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ht="18" x14ac:dyDescent="0.35">
      <c r="A17" s="7" t="s">
        <v>158</v>
      </c>
      <c r="B17" s="6" t="s">
        <v>162</v>
      </c>
      <c r="C17" s="18" t="s">
        <v>127</v>
      </c>
      <c r="D17" s="25" t="str">
        <f>IFERROR(COUNTIFS(GEO프롬프트테스트결과!$A$5:$A$200,"&lt;&gt;",GEO프롬프트테스트결과!$J$5:$J$200,"Tier 1")/COUNTIF(GEO프롬프트테스트결과!$A$5:$A$200,"&lt;&gt;"),"")</f>
        <v/>
      </c>
      <c r="E17" s="25" t="str">
        <f t="shared" si="0"/>
        <v/>
      </c>
      <c r="F17" s="7" t="s">
        <v>169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ht="18" x14ac:dyDescent="0.35">
      <c r="A18" s="7" t="s">
        <v>158</v>
      </c>
      <c r="B18" s="6" t="s">
        <v>163</v>
      </c>
      <c r="C18" s="18" t="s">
        <v>127</v>
      </c>
      <c r="D18" s="25" t="str">
        <f>IFERROR((COUNTIFS(GEO프롬프트테스트결과!$A$5:$A$200,"&lt;&gt;",GEO프롬프트테스트결과!$E$5:$E$200,"생활형",GEO프롬프트테스트결과!$J$5:$J$200,"Tier 1")+COUNTIFS(GEO프롬프트테스트결과!$A$5:$A$200,"&lt;&gt;",GEO프롬프트테스트결과!$E$5:$E$200,"생활형",GEO프롬프트테스트결과!$J$5:$J$200,"Tier 2"))/COUNTIFS(GEO프롬프트테스트결과!$A$5:$A$200,"&lt;&gt;",GEO프롬프트테스트결과!$E$5:$E$200,"생활형"),"")</f>
        <v/>
      </c>
      <c r="E18" s="25" t="str">
        <f t="shared" si="0"/>
        <v/>
      </c>
      <c r="F18" s="7" t="s">
        <v>169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4" ht="18" x14ac:dyDescent="0.35">
      <c r="A19" s="7" t="s">
        <v>158</v>
      </c>
      <c r="B19" s="6" t="s">
        <v>164</v>
      </c>
      <c r="C19" s="18" t="s">
        <v>127</v>
      </c>
      <c r="D19" s="25" t="str">
        <f>IFERROR((COUNTIFS(GEO프롬프트테스트결과!$A$5:$A$200,"&lt;&gt;",GEO프롬프트테스트결과!$E$5:$E$200,"비교형",GEO프롬프트테스트결과!$J$5:$J$200,"Tier 1")+COUNTIFS(GEO프롬프트테스트결과!$A$5:$A$200,"&lt;&gt;",GEO프롬프트테스트결과!$E$5:$E$200,"비교형",GEO프롬프트테스트결과!$J$5:$J$200,"Tier 2"))/COUNTIFS(GEO프롬프트테스트결과!$A$5:$A$200,"&lt;&gt;",GEO프롬프트테스트결과!$E$5:$E$200,"비교형"),"")</f>
        <v/>
      </c>
      <c r="E19" s="25" t="str">
        <f t="shared" si="0"/>
        <v/>
      </c>
      <c r="F19" s="7" t="s">
        <v>169</v>
      </c>
      <c r="G19" s="1"/>
      <c r="H19" s="1"/>
      <c r="I19" s="1"/>
      <c r="J19" s="1"/>
      <c r="K19" s="1"/>
      <c r="L19" s="1"/>
      <c r="M19" s="1"/>
      <c r="N19" s="28"/>
      <c r="O19" s="1"/>
      <c r="P19" s="1"/>
      <c r="Q19" s="1"/>
      <c r="R19" s="1"/>
      <c r="S19" s="1"/>
      <c r="T19" s="1"/>
      <c r="U19" s="1"/>
      <c r="V19" s="1"/>
      <c r="W19" s="1"/>
    </row>
    <row r="20" spans="1:24" ht="18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8" x14ac:dyDescent="0.35">
      <c r="A21" s="35" t="s">
        <v>165</v>
      </c>
      <c r="B21" s="31"/>
      <c r="C21" s="31"/>
      <c r="D21" s="31"/>
      <c r="E21" s="31"/>
      <c r="F21" s="3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8" x14ac:dyDescent="0.35">
      <c r="A22" s="23" t="s">
        <v>88</v>
      </c>
      <c r="B22" s="23" t="s">
        <v>166</v>
      </c>
      <c r="C22" s="23" t="s">
        <v>167</v>
      </c>
      <c r="D22" s="23" t="s">
        <v>168</v>
      </c>
      <c r="E22" s="23" t="s">
        <v>159</v>
      </c>
      <c r="F22" s="23" t="s">
        <v>160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4" ht="18" x14ac:dyDescent="0.35">
      <c r="A23" s="7" t="s">
        <v>100</v>
      </c>
      <c r="B23" s="29" t="str">
        <f>IFERROR(AVERAGEIFS(GEO프롬프트테스트결과!$K$5:$K$200,GEO프롬프트테스트결과!$A$5:$A$200,"&lt;&gt;",GEO프롬프트테스트결과!$C$5:$C$200,"GPT",GEO프롬프트테스트결과!$E$5:$E$200,"직접형"),"")</f>
        <v/>
      </c>
      <c r="C23" s="29" t="str">
        <f>IFERROR(AVERAGEIFS(GEO프롬프트테스트결과!$K$5:$K$200,GEO프롬프트테스트결과!$A$5:$A$200,"&lt;&gt;",GEO프롬프트테스트결과!$C$5:$C$200,"GPT",GEO프롬프트테스트결과!$E$5:$E$200,"비교형"),"")</f>
        <v/>
      </c>
      <c r="D23" s="29" t="str">
        <f>IFERROR(AVERAGEIFS(GEO프롬프트테스트결과!$K$5:$K$200,GEO프롬프트테스트결과!$A$5:$A$200,"&lt;&gt;",GEO프롬프트테스트결과!$C$5:$C$200,"GPT",GEO프롬프트테스트결과!$E$5:$E$200,"생활형"),"")</f>
        <v/>
      </c>
      <c r="E23" s="30" t="str">
        <f>IFERROR(COUNTIFS(GEO프롬프트테스트결과!$A$5:$A$200,"&lt;&gt;",GEO프롬프트테스트결과!$C$5:$C$200,"GPT",GEO프롬프트테스트결과!$G$5:$G$200,"Y")/COUNTIFS(GEO프롬프트테스트결과!$A$5:$A$200,"&lt;&gt;",GEO프롬프트테스트결과!$C$5:$C$200,"GPT"),"")</f>
        <v/>
      </c>
      <c r="F23" s="30" t="str">
        <f>IFERROR(COUNTIFS(GEO프롬프트테스트결과!$A$5:$A$200,"&lt;&gt;",GEO프롬프트테스트결과!$C$5:$C$200,"GPT",GEO프롬프트테스트결과!$H$5:$H$200,"Y")/COUNTIFS(GEO프롬프트테스트결과!$A$5:$A$200,"&lt;&gt;",GEO프롬프트테스트결과!$C$5:$C$200,"GPT"),"")</f>
        <v/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4" ht="18" x14ac:dyDescent="0.35">
      <c r="A24" s="7" t="s">
        <v>101</v>
      </c>
      <c r="B24" s="29" t="str">
        <f>IFERROR(AVERAGEIFS(GEO프롬프트테스트결과!$K$5:$K$200,GEO프롬프트테스트결과!$A$5:$A$200,"&lt;&gt;",GEO프롬프트테스트결과!$C$5:$C$200,"Gemini",GEO프롬프트테스트결과!$E$5:$E$200,"직접형"),"")</f>
        <v/>
      </c>
      <c r="C24" s="29" t="str">
        <f>IFERROR(AVERAGEIFS(GEO프롬프트테스트결과!$K$5:$K$200,GEO프롬프트테스트결과!$A$5:$A$200,"&lt;&gt;",GEO프롬프트테스트결과!$C$5:$C$200,"Gemini",GEO프롬프트테스트결과!$E$5:$E$200,"비교형"),"")</f>
        <v/>
      </c>
      <c r="D24" s="29" t="str">
        <f>IFERROR(AVERAGEIFS(GEO프롬프트테스트결과!$K$5:$K$200,GEO프롬프트테스트결과!$A$5:$A$200,"&lt;&gt;",GEO프롬프트테스트결과!$C$5:$C$200,"Gemini",GEO프롬프트테스트결과!$E$5:$E$200,"생활형"),"")</f>
        <v/>
      </c>
      <c r="E24" s="30" t="str">
        <f>IFERROR(COUNTIFS(GEO프롬프트테스트결과!$A$5:$A$200,"&lt;&gt;",GEO프롬프트테스트결과!$C$5:$C$200,"Gemini",GEO프롬프트테스트결과!$G$5:$G$200,"Y")/COUNTIFS(GEO프롬프트테스트결과!$A$5:$A$200,"&lt;&gt;",GEO프롬프트테스트결과!$C$5:$C$200,"Gemini"),"")</f>
        <v/>
      </c>
      <c r="F24" s="30" t="str">
        <f>IFERROR(COUNTIFS(GEO프롬프트테스트결과!$A$5:$A$200,"&lt;&gt;",GEO프롬프트테스트결과!$C$5:$C$200,"Gemini",GEO프롬프트테스트결과!$H$5:$H$200,"Y")/COUNTIFS(GEO프롬프트테스트결과!$A$5:$A$200,"&lt;&gt;",GEO프롬프트테스트결과!$C$5:$C$200,"Gemini"),"")</f>
        <v/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4" ht="18" x14ac:dyDescent="0.35">
      <c r="A25" s="7" t="s">
        <v>102</v>
      </c>
      <c r="B25" s="29" t="str">
        <f>IFERROR(AVERAGEIFS(GEO프롬프트테스트결과!$K$5:$K$200,GEO프롬프트테스트결과!$A$5:$A$200,"&lt;&gt;",GEO프롬프트테스트결과!$C$5:$C$200,"Perplexity",GEO프롬프트테스트결과!$E$5:$E$200,"직접형"),"")</f>
        <v/>
      </c>
      <c r="C25" s="29" t="str">
        <f>IFERROR(AVERAGEIFS(GEO프롬프트테스트결과!$K$5:$K$200,GEO프롬프트테스트결과!$A$5:$A$200,"&lt;&gt;",GEO프롬프트테스트결과!$C$5:$C$200,"Perplexity",GEO프롬프트테스트결과!$E$5:$E$200,"비교형"),"")</f>
        <v/>
      </c>
      <c r="D25" s="29" t="str">
        <f>IFERROR(AVERAGEIFS(GEO프롬프트테스트결과!$K$5:$K$200,GEO프롬프트테스트결과!$A$5:$A$200,"&lt;&gt;",GEO프롬프트테스트결과!$C$5:$C$200,"Perplexity",GEO프롬프트테스트결과!$E$5:$E$200,"생활형"),"")</f>
        <v/>
      </c>
      <c r="E25" s="30" t="str">
        <f>IFERROR(COUNTIFS(GEO프롬프트테스트결과!$A$5:$A$200,"&lt;&gt;",GEO프롬프트테스트결과!$C$5:$C$200,"Perplexity",GEO프롬프트테스트결과!$G$5:$G$200,"Y")/COUNTIFS(GEO프롬프트테스트결과!$A$5:$A$200,"&lt;&gt;",GEO프롬프트테스트결과!$C$5:$C$200,"Perplexity"),"")</f>
        <v/>
      </c>
      <c r="F25" s="30" t="str">
        <f>IFERROR(COUNTIFS(GEO프롬프트테스트결과!$A$5:$A$200,"&lt;&gt;",GEO프롬프트테스트결과!$C$5:$C$200,"Perplexity",GEO프롬프트테스트결과!$H$5:$H$200,"Y")/COUNTIFS(GEO프롬프트테스트결과!$A$5:$A$200,"&lt;&gt;",GEO프롬프트테스트결과!$C$5:$C$200,"Perplexity"),"")</f>
        <v/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4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4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8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8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8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8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8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8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8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8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8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8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8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8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8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8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8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8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8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8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8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8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8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8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8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8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8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8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8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8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8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8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8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8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8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8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8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8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8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8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8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8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8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8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8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8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8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8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8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8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8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8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8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8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8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8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8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8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8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8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8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8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8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8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8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8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8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8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8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8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8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8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8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8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8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8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8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8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8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8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8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8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8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8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8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8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8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8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8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8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8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8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8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8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8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8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8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8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8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8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8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8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8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8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8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8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8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8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8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8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8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8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8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8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8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8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8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8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8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8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8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8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8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8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8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8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8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8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8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8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8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8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8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8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8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8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8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8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8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8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8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8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8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8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8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8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8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8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8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8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8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8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8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8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8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8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8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8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8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8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8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8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8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8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8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8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8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8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8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8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8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8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8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8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8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8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8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8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8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8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8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8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8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8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8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8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8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8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8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8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8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8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8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8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8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8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8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8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8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8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8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8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8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8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8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8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8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8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8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8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8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8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8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8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8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8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8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8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8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8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8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8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8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8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8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8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8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8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8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8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8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8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8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8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8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8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8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8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8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8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8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8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8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8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8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8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8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8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8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8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8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8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8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8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8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8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8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8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8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8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8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8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8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8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8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8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8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8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8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8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8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8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8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8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8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8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8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8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8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8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8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8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8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8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8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8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8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8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8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8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8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8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8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8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8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8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8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8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8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8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8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8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8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8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8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8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8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8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8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8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8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8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8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8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8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8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8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8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8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8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8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8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8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8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8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8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8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8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8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8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8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8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8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8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8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8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8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8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8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8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8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8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8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8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8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8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8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8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8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8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8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8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8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8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8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8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8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8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8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8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8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8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8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8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8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8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8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8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8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8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8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8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8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8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8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8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8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8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8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8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8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8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8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8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8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8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8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8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8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8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8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8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8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8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8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8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8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8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8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8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8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8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8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8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8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8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8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8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8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8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8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8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8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8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8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8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8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8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8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8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8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8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8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8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8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8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8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8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8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8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8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8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8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8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8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8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8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8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8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8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8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8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8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8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8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8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8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8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8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8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8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8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8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8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8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8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8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8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8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8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8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8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8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8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8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8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8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8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8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8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8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8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8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8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8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8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8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8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8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8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8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8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8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8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8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8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8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8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8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8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8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8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8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8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8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8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8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8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8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8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8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8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8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8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8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8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8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8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8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8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8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8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8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8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8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8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8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8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8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8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8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8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8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8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8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8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8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8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8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8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8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8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8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8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8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8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8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</sheetData>
  <mergeCells count="3">
    <mergeCell ref="A21:F21"/>
    <mergeCell ref="A3:F3"/>
    <mergeCell ref="A1:F1"/>
  </mergeCells>
  <phoneticPr fontId="1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리포트개요</vt:lpstr>
      <vt:lpstr>프롬프트세트</vt:lpstr>
      <vt:lpstr>GEO프롬프트테스트결과</vt:lpstr>
      <vt:lpstr>중위키워드추적</vt:lpstr>
      <vt:lpstr>월간종합리포트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2026-04-27T03:00:12Z</dcterms:modified>
</cp:coreProperties>
</file>